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Рабочий стол\DataAnalyst\1\Таблицы\"/>
    </mc:Choice>
  </mc:AlternateContent>
  <xr:revisionPtr revIDLastSave="0" documentId="13_ncr:1_{2738578B-B15B-48B9-BAB1-C14E862F0D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1" sheetId="10" r:id="rId1"/>
    <sheet name="Продажи" sheetId="1" r:id="rId2"/>
    <sheet name="Отчёт1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O2" i="1"/>
  <c r="E2" i="3"/>
  <c r="D2" i="3"/>
  <c r="B2" i="3"/>
  <c r="A2" i="3"/>
  <c r="R2" i="1"/>
  <c r="I25" i="1"/>
  <c r="H25" i="1"/>
  <c r="A25" i="1"/>
  <c r="B25" i="1"/>
  <c r="C25" i="1"/>
  <c r="D25" i="1"/>
  <c r="O3" i="1"/>
  <c r="O4" i="1"/>
  <c r="O5" i="1"/>
  <c r="O6" i="1"/>
  <c r="O7" i="1"/>
  <c r="O8" i="1"/>
  <c r="O9" i="1"/>
  <c r="O10" i="1"/>
  <c r="C2" i="3" s="1"/>
  <c r="O11" i="1"/>
  <c r="O12" i="1"/>
  <c r="O13" i="1"/>
  <c r="O14" i="1"/>
  <c r="O15" i="1"/>
  <c r="O16" i="1"/>
  <c r="O17" i="1"/>
  <c r="O18" i="1"/>
  <c r="O19" i="1"/>
  <c r="O20" i="1"/>
  <c r="O2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F25" i="1"/>
  <c r="E25" i="1"/>
  <c r="G25" i="1" l="1"/>
</calcChain>
</file>

<file path=xl/sharedStrings.xml><?xml version="1.0" encoding="utf-8"?>
<sst xmlns="http://schemas.openxmlformats.org/spreadsheetml/2006/main" count="178" uniqueCount="80">
  <si>
    <t>OrderID</t>
  </si>
  <si>
    <t>OrderDate</t>
  </si>
  <si>
    <t>Region</t>
  </si>
  <si>
    <t>City</t>
  </si>
  <si>
    <t>CustomerName</t>
  </si>
  <si>
    <t>Segment</t>
  </si>
  <si>
    <t>Category</t>
  </si>
  <si>
    <t>SubCategory</t>
  </si>
  <si>
    <t>ProductName</t>
  </si>
  <si>
    <t>Quantity</t>
  </si>
  <si>
    <t>UnitPrice</t>
  </si>
  <si>
    <t>Discount</t>
  </si>
  <si>
    <t>Sales</t>
  </si>
  <si>
    <t>Profit</t>
  </si>
  <si>
    <t>Центр</t>
  </si>
  <si>
    <t>Минск</t>
  </si>
  <si>
    <t>Иванов</t>
  </si>
  <si>
    <t>Потребитель</t>
  </si>
  <si>
    <t>Техника</t>
  </si>
  <si>
    <t>Телефоны</t>
  </si>
  <si>
    <t>Samsung Galaxy A54</t>
  </si>
  <si>
    <t>Петрова</t>
  </si>
  <si>
    <t>Корпоратив</t>
  </si>
  <si>
    <t>Мебель</t>
  </si>
  <si>
    <t>Стулья</t>
  </si>
  <si>
    <t>Офисное кресло Ergo</t>
  </si>
  <si>
    <t>Север</t>
  </si>
  <si>
    <t>Витебск</t>
  </si>
  <si>
    <t>Сидоров</t>
  </si>
  <si>
    <t>Офисные товары</t>
  </si>
  <si>
    <t>Бумага</t>
  </si>
  <si>
    <t>Бумага А4 500 л.</t>
  </si>
  <si>
    <t>Юг</t>
  </si>
  <si>
    <t>Гомель</t>
  </si>
  <si>
    <t>Козлова</t>
  </si>
  <si>
    <t>Домашний офис</t>
  </si>
  <si>
    <t>Ноутбуки</t>
  </si>
  <si>
    <t>Lenovo IdeaPad 5</t>
  </si>
  <si>
    <t>Гродно</t>
  </si>
  <si>
    <t>Столы</t>
  </si>
  <si>
    <t>Письменный стол дуб</t>
  </si>
  <si>
    <t>Могилёв</t>
  </si>
  <si>
    <t>Смирнова</t>
  </si>
  <si>
    <t>Ручки</t>
  </si>
  <si>
    <t>Ручка шариковая 10 шт</t>
  </si>
  <si>
    <t>Брест</t>
  </si>
  <si>
    <t>Мониторы</t>
  </si>
  <si>
    <t>LG 27" 4K</t>
  </si>
  <si>
    <t>Полки</t>
  </si>
  <si>
    <t>Настенная полка 3 яруса</t>
  </si>
  <si>
    <t>Папки</t>
  </si>
  <si>
    <t>Скоросшиватель 10 шт</t>
  </si>
  <si>
    <t>Принтеры</t>
  </si>
  <si>
    <t>HP LaserJet Pro</t>
  </si>
  <si>
    <t>Кресло руководителя</t>
  </si>
  <si>
    <t>Калькуляторы</t>
  </si>
  <si>
    <t>Калькулятор настольный</t>
  </si>
  <si>
    <t>Наушники</t>
  </si>
  <si>
    <t>Sony WH-1000XM5</t>
  </si>
  <si>
    <t>Конференц-стол 240 см</t>
  </si>
  <si>
    <t>ASUS VivoBook 15</t>
  </si>
  <si>
    <t>Стеллаж металлический</t>
  </si>
  <si>
    <t>Ручка гелевая 12 шт</t>
  </si>
  <si>
    <t>Dell 24" IPS</t>
  </si>
  <si>
    <t>Стул конференц</t>
  </si>
  <si>
    <t>Общая выручка</t>
  </si>
  <si>
    <t>Средний Чек</t>
  </si>
  <si>
    <t>Макс. Прибыль с заказа</t>
  </si>
  <si>
    <t>Заказы из Центра</t>
  </si>
  <si>
    <t>Тип Заказа</t>
  </si>
  <si>
    <t>Сколько заказов в Минске</t>
  </si>
  <si>
    <t>Сколько Заказов с Discount</t>
  </si>
  <si>
    <t>Чистая Выручка</t>
  </si>
  <si>
    <t>Прибыль на единицу</t>
  </si>
  <si>
    <t>Количество крупных заказов</t>
  </si>
  <si>
    <t>ИТОГИ</t>
  </si>
  <si>
    <t>Суммарная прибыль</t>
  </si>
  <si>
    <t>Средняя скидка</t>
  </si>
  <si>
    <t>Количество заказов прибыль &gt;100</t>
  </si>
  <si>
    <t>Количество по полю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</si>
</sst>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9]d\ mmm;@"/>
    <numFmt numFmtId="165" formatCode="#,##0.00\ [$BYN]"/>
    <numFmt numFmtId="166" formatCode="0.0%"/>
    <numFmt numFmtId="167" formatCode="#,##0.0\ [$BYN]"/>
  </numFmts>
  <fonts count="6" x14ac:knownFonts="1">
    <font>
      <sz val="10"/>
      <color rgb="FF000000"/>
      <name val="Calibri"/>
      <scheme val="minor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4" borderId="0" xfId="0" applyFont="1" applyFill="1"/>
    <xf numFmtId="165" fontId="2" fillId="4" borderId="0" xfId="0" applyNumberFormat="1" applyFont="1" applyFill="1"/>
    <xf numFmtId="166" fontId="2" fillId="4" borderId="0" xfId="0" applyNumberFormat="1" applyFont="1" applyFill="1"/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 wrapText="1"/>
    </xf>
    <xf numFmtId="10" fontId="1" fillId="3" borderId="2" xfId="0" applyNumberFormat="1" applyFont="1" applyFill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0" fontId="0" fillId="0" borderId="0" xfId="0" pivotButton="1"/>
    <xf numFmtId="167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4" fillId="0" borderId="3" xfId="0" applyFont="1" applyBorder="1" applyAlignment="1">
      <alignment horizontal="center"/>
    </xf>
  </cellXfs>
  <cellStyles count="1">
    <cellStyle name="Обычный" xfId="0" builtinId="0"/>
  </cellStyles>
  <dxfs count="3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#,##0.00\ [$BYN]"/>
      <alignment horizontal="center" vertical="center" textRotation="0" wrapText="1" indent="0" justifyLastLine="0" shrinkToFit="0" readingOrder="0"/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#,##0.00\ [$BYN]"/>
      <alignment horizontal="center" vertical="center" textRotation="0" wrapText="1" indent="0" justifyLastLine="0" shrinkToFit="0" readingOrder="0"/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#,##0.00\ [$BYN]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#,##0.00\ [$BYN]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7" formatCode="#,##0.0\ [$BYN]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7" formatCode="#,##0.0\ [$BYN]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#,##0.00\ [$BYN]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4" formatCode="[$-419]d\ mmm;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[Тренировочная таблица №1 (Неделя 1).xlsx]Лист1!Сводная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по полю </a:t>
            </a:r>
            <a:r>
              <a:rPr lang="en-US"/>
              <a:t>Category</a:t>
            </a:r>
          </a:p>
        </c:rich>
      </c:tx>
      <c:layout>
        <c:manualLayout>
          <c:xMode val="edge"/>
          <c:yMode val="edge"/>
          <c:x val="1.763779527559074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Лист1!$A$4:$A$6</c:f>
              <c:strCache>
                <c:ptCount val="3"/>
                <c:pt idx="0">
                  <c:v>Мебель</c:v>
                </c:pt>
                <c:pt idx="1">
                  <c:v>Офисные товары</c:v>
                </c:pt>
                <c:pt idx="2">
                  <c:v>Техника</c:v>
                </c:pt>
              </c:strCache>
            </c:strRef>
          </c:cat>
          <c:val>
            <c:numRef>
              <c:f>Лист1!$B$4:$B$6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B-4E0B-B506-F38CABAD0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447068543"/>
        <c:axId val="1447067583"/>
        <c:axId val="1448379359"/>
      </c:bar3DChart>
      <c:catAx>
        <c:axId val="144706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7067583"/>
        <c:crosses val="autoZero"/>
        <c:auto val="1"/>
        <c:lblAlgn val="ctr"/>
        <c:lblOffset val="100"/>
        <c:noMultiLvlLbl val="0"/>
      </c:catAx>
      <c:valAx>
        <c:axId val="144706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7068543"/>
        <c:crosses val="autoZero"/>
        <c:crossBetween val="between"/>
      </c:valAx>
      <c:serAx>
        <c:axId val="14483793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706758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152400</xdr:rowOff>
    </xdr:from>
    <xdr:to>
      <xdr:col>5</xdr:col>
      <xdr:colOff>133350</xdr:colOff>
      <xdr:row>25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8885818-784C-3983-3CC5-A4E59CCE9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ита Ермоленко" refreshedDate="46061.779229513886" createdVersion="8" refreshedVersion="8" minRefreshableVersion="3" recordCount="20" xr:uid="{31A9C26A-B29E-447A-9DEE-452739200954}">
  <cacheSource type="worksheet">
    <worksheetSource name="Таблица2"/>
  </cacheSource>
  <cacheFields count="18">
    <cacheField name="OrderID" numFmtId="0">
      <sharedItems containsSemiMixedTypes="0" containsString="0" containsNumber="1" containsInteger="1" minValue="1" maxValue="20"/>
    </cacheField>
    <cacheField name="OrderDate" numFmtId="164">
      <sharedItems containsSemiMixedTypes="0" containsNonDate="0" containsDate="1" containsString="0" minDate="2024-01-01T00:00:00" maxDate="2024-02-11T00:00:00"/>
    </cacheField>
    <cacheField name="Region" numFmtId="0">
      <sharedItems/>
    </cacheField>
    <cacheField name="City" numFmtId="0">
      <sharedItems/>
    </cacheField>
    <cacheField name="CustomerName" numFmtId="0">
      <sharedItems/>
    </cacheField>
    <cacheField name="Segment" numFmtId="0">
      <sharedItems/>
    </cacheField>
    <cacheField name="Category" numFmtId="0">
      <sharedItems count="3">
        <s v="Техника"/>
        <s v="Мебель"/>
        <s v="Офисные товары"/>
      </sharedItems>
    </cacheField>
    <cacheField name="SubCategory" numFmtId="0">
      <sharedItems/>
    </cacheField>
    <cacheField name="ProductName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165">
      <sharedItems containsSemiMixedTypes="0" containsString="0" containsNumber="1" minValue="4.5" maxValue="980"/>
    </cacheField>
    <cacheField name="Discount" numFmtId="9">
      <sharedItems containsSemiMixedTypes="0" containsString="0" containsNumber="1" minValue="0" maxValue="0.2"/>
    </cacheField>
    <cacheField name="Sales" numFmtId="167">
      <sharedItems containsSemiMixedTypes="0" containsString="0" containsNumber="1" minValue="30.6" maxValue="1324.8"/>
    </cacheField>
    <cacheField name="Profit" numFmtId="167">
      <sharedItems containsSemiMixedTypes="0" containsString="0" containsNumber="1" minValue="4.5999999999999996" maxValue="265"/>
    </cacheField>
    <cacheField name="Тип Заказа" numFmtId="0">
      <sharedItems/>
    </cacheField>
    <cacheField name="Чистая Выручка" numFmtId="165">
      <sharedItems containsSemiMixedTypes="0" containsString="0" containsNumber="1" minValue="26.01" maxValue="1218.816"/>
    </cacheField>
    <cacheField name="Прибыль на единицу" numFmtId="165">
      <sharedItems containsSemiMixedTypes="0" containsString="0" containsNumber="1" minValue="0.5" maxValue="216"/>
    </cacheField>
    <cacheField name="Количество заказов прибыль &gt;100" numFmtId="0">
      <sharedItems containsString="0" containsBlank="1" containsNumber="1" containsInteger="1" minValue="1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d v="2024-01-01T00:00:00"/>
    <s v="Центр"/>
    <s v="Минск"/>
    <s v="Иванов"/>
    <s v="Потребитель"/>
    <x v="0"/>
    <s v="Телефоны"/>
    <s v="Samsung Galaxy A54"/>
    <n v="2"/>
    <n v="650"/>
    <n v="0.05"/>
    <n v="1235"/>
    <n v="185"/>
    <s v="Крупный"/>
    <n v="1173.25"/>
    <n v="92.5"/>
    <n v="10"/>
  </r>
  <r>
    <n v="2"/>
    <d v="2024-01-02T00:00:00"/>
    <s v="Центр"/>
    <s v="Минск"/>
    <s v="Петрова"/>
    <s v="Корпоратив"/>
    <x v="1"/>
    <s v="Стулья"/>
    <s v="Офисное кресло Ergo"/>
    <n v="1"/>
    <n v="320"/>
    <n v="0"/>
    <n v="320"/>
    <n v="96"/>
    <s v="Средний"/>
    <n v="320"/>
    <n v="96"/>
    <m/>
  </r>
  <r>
    <n v="3"/>
    <d v="2024-01-03T00:00:00"/>
    <s v="Север"/>
    <s v="Витебск"/>
    <s v="Сидоров"/>
    <s v="Потребитель"/>
    <x v="2"/>
    <s v="Бумага"/>
    <s v="Бумага А4 500 л."/>
    <n v="5"/>
    <n v="18"/>
    <n v="0.1"/>
    <n v="81"/>
    <n v="11"/>
    <s v="Мелкий"/>
    <n v="72.900000000000006"/>
    <n v="2.2000000000000002"/>
    <m/>
  </r>
  <r>
    <n v="4"/>
    <d v="2024-01-05T00:00:00"/>
    <s v="Юг"/>
    <s v="Гомель"/>
    <s v="Козлова"/>
    <s v="Домашний офис"/>
    <x v="0"/>
    <s v="Ноутбуки"/>
    <s v="Lenovo IdeaPad 5"/>
    <n v="1"/>
    <n v="980"/>
    <n v="0.08"/>
    <n v="901.6"/>
    <n v="180"/>
    <s v="Крупный"/>
    <n v="829.47200000000009"/>
    <n v="180"/>
    <m/>
  </r>
  <r>
    <n v="5"/>
    <d v="2024-01-07T00:00:00"/>
    <s v="Центр"/>
    <s v="Гродно"/>
    <s v="Иванов"/>
    <s v="Потребитель"/>
    <x v="1"/>
    <s v="Столы"/>
    <s v="Письменный стол дуб"/>
    <n v="1"/>
    <n v="450"/>
    <n v="0"/>
    <n v="450"/>
    <n v="135"/>
    <s v="Средний"/>
    <n v="450"/>
    <n v="135"/>
    <m/>
  </r>
  <r>
    <n v="6"/>
    <d v="2024-01-10T00:00:00"/>
    <s v="Север"/>
    <s v="Могилёв"/>
    <s v="Смирнова"/>
    <s v="Корпоратив"/>
    <x v="2"/>
    <s v="Ручки"/>
    <s v="Ручка шариковая 10 шт"/>
    <n v="3"/>
    <n v="12"/>
    <n v="0.15"/>
    <n v="30.6"/>
    <n v="4.5999999999999996"/>
    <s v="Мелкий"/>
    <n v="26.01"/>
    <n v="1.5333333333333332"/>
    <m/>
  </r>
  <r>
    <n v="7"/>
    <d v="2024-01-12T00:00:00"/>
    <s v="Юг"/>
    <s v="Брест"/>
    <s v="Петрова"/>
    <s v="Потребитель"/>
    <x v="0"/>
    <s v="Мониторы"/>
    <s v="LG 27&quot; 4K"/>
    <n v="2"/>
    <n v="420"/>
    <n v="0.05"/>
    <n v="798"/>
    <n v="120"/>
    <s v="Крупный"/>
    <n v="758.09999999999991"/>
    <n v="60"/>
    <m/>
  </r>
  <r>
    <n v="8"/>
    <d v="2024-01-15T00:00:00"/>
    <s v="Центр"/>
    <s v="Минск"/>
    <s v="Козлова"/>
    <s v="Домашний офис"/>
    <x v="1"/>
    <s v="Полки"/>
    <s v="Настенная полка 3 яруса"/>
    <n v="4"/>
    <n v="85"/>
    <n v="0"/>
    <n v="340"/>
    <n v="102"/>
    <s v="Средний"/>
    <n v="340"/>
    <n v="25.5"/>
    <m/>
  </r>
  <r>
    <n v="9"/>
    <d v="2024-01-18T00:00:00"/>
    <s v="Север"/>
    <s v="Витебск"/>
    <s v="Сидоров"/>
    <s v="Потребитель"/>
    <x v="2"/>
    <s v="Папки"/>
    <s v="Скоросшиватель 10 шт"/>
    <n v="10"/>
    <n v="4.5"/>
    <n v="0.2"/>
    <n v="36"/>
    <n v="5"/>
    <s v="Мелкий"/>
    <n v="28.8"/>
    <n v="0.5"/>
    <m/>
  </r>
  <r>
    <n v="10"/>
    <d v="2024-01-20T00:00:00"/>
    <s v="Юг"/>
    <s v="Гомель"/>
    <s v="Иванов"/>
    <s v="Корпоратив"/>
    <x v="0"/>
    <s v="Принтеры"/>
    <s v="HP LaserJet Pro"/>
    <n v="1"/>
    <n v="380"/>
    <n v="0.1"/>
    <n v="342"/>
    <n v="68"/>
    <s v="Средний"/>
    <n v="307.8"/>
    <n v="68"/>
    <m/>
  </r>
  <r>
    <n v="11"/>
    <d v="2024-01-22T00:00:00"/>
    <s v="Центр"/>
    <s v="Минск"/>
    <s v="Петрова"/>
    <s v="Потребитель"/>
    <x v="1"/>
    <s v="Стулья"/>
    <s v="Кресло руководителя"/>
    <n v="1"/>
    <n v="580"/>
    <n v="0"/>
    <n v="580"/>
    <n v="174"/>
    <s v="Средний"/>
    <n v="580"/>
    <n v="174"/>
    <m/>
  </r>
  <r>
    <n v="12"/>
    <d v="2024-01-25T00:00:00"/>
    <s v="Север"/>
    <s v="Могилёв"/>
    <s v="Смирнова"/>
    <s v="Домашний офис"/>
    <x v="2"/>
    <s v="Калькуляторы"/>
    <s v="Калькулятор настольный"/>
    <n v="2"/>
    <n v="35"/>
    <n v="0.05"/>
    <n v="66.5"/>
    <n v="10"/>
    <s v="Мелкий"/>
    <n v="63.174999999999997"/>
    <n v="5"/>
    <m/>
  </r>
  <r>
    <n v="13"/>
    <d v="2024-01-27T00:00:00"/>
    <s v="Юг"/>
    <s v="Брест"/>
    <s v="Козлова"/>
    <s v="Потребитель"/>
    <x v="0"/>
    <s v="Наушники"/>
    <s v="Sony WH-1000XM5"/>
    <n v="1"/>
    <n v="420"/>
    <n v="0.12"/>
    <n v="369.6"/>
    <n v="74"/>
    <s v="Средний"/>
    <n v="325.24800000000005"/>
    <n v="74"/>
    <m/>
  </r>
  <r>
    <n v="14"/>
    <d v="2024-01-29T00:00:00"/>
    <s v="Центр"/>
    <s v="Гродно"/>
    <s v="Сидоров"/>
    <s v="Корпоратив"/>
    <x v="1"/>
    <s v="Столы"/>
    <s v="Конференц-стол 240 см"/>
    <n v="1"/>
    <n v="720"/>
    <n v="0"/>
    <n v="720"/>
    <n v="216"/>
    <s v="Крупный"/>
    <n v="720"/>
    <n v="216"/>
    <m/>
  </r>
  <r>
    <n v="15"/>
    <d v="2024-01-31T00:00:00"/>
    <s v="Север"/>
    <s v="Витебск"/>
    <s v="Иванов"/>
    <s v="Потребитель"/>
    <x v="2"/>
    <s v="Бумага"/>
    <s v="Бумага А4 500 л."/>
    <n v="8"/>
    <n v="18"/>
    <n v="0.1"/>
    <n v="129.6"/>
    <n v="18"/>
    <s v="Мелкий"/>
    <n v="116.64"/>
    <n v="2.25"/>
    <m/>
  </r>
  <r>
    <n v="16"/>
    <d v="2024-02-02T00:00:00"/>
    <s v="Юг"/>
    <s v="Гомель"/>
    <s v="Петрова"/>
    <s v="Домашний офис"/>
    <x v="0"/>
    <s v="Ноутбуки"/>
    <s v="ASUS VivoBook 15"/>
    <n v="2"/>
    <n v="720"/>
    <n v="0.08"/>
    <n v="1324.8"/>
    <n v="265"/>
    <s v="Крупный"/>
    <n v="1218.816"/>
    <n v="132.5"/>
    <m/>
  </r>
  <r>
    <n v="17"/>
    <d v="2024-02-04T00:00:00"/>
    <s v="Центр"/>
    <s v="Минск"/>
    <s v="Смирнова"/>
    <s v="Потребитель"/>
    <x v="1"/>
    <s v="Полки"/>
    <s v="Стеллаж металлический"/>
    <n v="3"/>
    <n v="140"/>
    <n v="0"/>
    <n v="420"/>
    <n v="126"/>
    <s v="Средний"/>
    <n v="420"/>
    <n v="42"/>
    <m/>
  </r>
  <r>
    <n v="18"/>
    <d v="2024-02-06T00:00:00"/>
    <s v="Север"/>
    <s v="Могилёв"/>
    <s v="Козлова"/>
    <s v="Корпоратив"/>
    <x v="2"/>
    <s v="Ручки"/>
    <s v="Ручка гелевая 12 шт"/>
    <n v="4"/>
    <n v="15"/>
    <n v="0.15"/>
    <n v="51"/>
    <n v="7.7"/>
    <s v="Мелкий"/>
    <n v="43.35"/>
    <n v="1.925"/>
    <m/>
  </r>
  <r>
    <n v="19"/>
    <d v="2024-02-08T00:00:00"/>
    <s v="Юг"/>
    <s v="Брест"/>
    <s v="Сидоров"/>
    <s v="Потребитель"/>
    <x v="0"/>
    <s v="Мониторы"/>
    <s v="Dell 24&quot; IPS"/>
    <n v="3"/>
    <n v="280"/>
    <n v="0.05"/>
    <n v="798"/>
    <n v="120"/>
    <s v="Крупный"/>
    <n v="758.09999999999991"/>
    <n v="40"/>
    <m/>
  </r>
  <r>
    <n v="20"/>
    <d v="2024-02-10T00:00:00"/>
    <s v="Центр"/>
    <s v="Минск"/>
    <s v="Иванов"/>
    <s v="Потребитель"/>
    <x v="1"/>
    <s v="Стулья"/>
    <s v="Стул конференц"/>
    <n v="6"/>
    <n v="95"/>
    <n v="0.1"/>
    <n v="513"/>
    <n v="77"/>
    <s v="Средний"/>
    <n v="461.7"/>
    <n v="12.83333333333333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E39AC-F8B2-44F7-B693-A1A9BABD0F67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compact="0" compactData="0" multipleFieldFilters="0" chartFormat="2">
  <location ref="A3:B6" firstHeaderRow="1" firstDataRow="1" firstDataCol="1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Количество по полю Category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D0D361-EB2D-44F6-AAA1-FF68BA827067}" name="Таблица2" displayName="Таблица2" ref="A1:R21" totalsRowShown="0" headerRowDxfId="32" dataDxfId="31">
  <tableColumns count="18">
    <tableColumn id="1" xr3:uid="{BB61C047-27F9-4874-815B-B1B0D3EB311A}" name="OrderID" dataDxfId="30"/>
    <tableColumn id="2" xr3:uid="{F02FDDDA-2716-4AC6-A542-49D00F82250A}" name="OrderDate" dataDxfId="29"/>
    <tableColumn id="3" xr3:uid="{18148E5B-06A9-4530-BF12-06CA9984A4A8}" name="Region" dataDxfId="28"/>
    <tableColumn id="4" xr3:uid="{07239C21-BCFB-4984-BD38-CBF4B1909161}" name="City" dataDxfId="27"/>
    <tableColumn id="5" xr3:uid="{E38EF6CC-F543-4E21-BB63-0912C61ADA7A}" name="CustomerName" dataDxfId="26"/>
    <tableColumn id="6" xr3:uid="{89E94114-A2A6-4656-B1D1-57FB665DB362}" name="Segment" dataDxfId="25"/>
    <tableColumn id="7" xr3:uid="{D63464FB-0523-45B4-9560-8A44763BDE9D}" name="Category" dataDxfId="24"/>
    <tableColumn id="8" xr3:uid="{D1B3CC34-E4A1-4738-806C-9551B9405C22}" name="SubCategory" dataDxfId="23"/>
    <tableColumn id="9" xr3:uid="{E095665A-4BC2-4A10-A3CB-3FAB81BDF833}" name="ProductName" dataDxfId="22"/>
    <tableColumn id="10" xr3:uid="{EE350D91-EC69-4016-ADBA-00F3AD80FBC7}" name="Quantity" dataDxfId="21"/>
    <tableColumn id="11" xr3:uid="{57226AF0-8D8D-4E25-83D3-7A304119F50C}" name="UnitPrice" dataDxfId="20"/>
    <tableColumn id="12" xr3:uid="{46182310-D7F2-4EDC-B7DA-81BD1469DDF5}" name="Discount" dataDxfId="19"/>
    <tableColumn id="13" xr3:uid="{E08AC5B6-D1D9-4ADD-AC65-E98C5CA943EC}" name="Sales" dataDxfId="18"/>
    <tableColumn id="14" xr3:uid="{3E5DCC47-6150-4D27-A846-816ED3ADAB03}" name="Profit" dataDxfId="17"/>
    <tableColumn id="19" xr3:uid="{52C3E47C-8C05-437B-ADFB-81D0D050A0A5}" name="Тип Заказа" dataDxfId="16">
      <calculatedColumnFormula>IF(Таблица2[[#This Row],[Sales]]&gt;700,"Крупный",IF(Таблица2[[#This Row],[Sales]]&gt;300,"Средний","Мелкий"))</calculatedColumnFormula>
    </tableColumn>
    <tableColumn id="22" xr3:uid="{84C1660B-3830-420C-8113-5615D860E476}" name="Чистая Выручка" dataDxfId="15">
      <calculatedColumnFormula>(Таблица2[[#This Row],[Sales]])*(1-Таблица2[[#This Row],[Discount]])</calculatedColumnFormula>
    </tableColumn>
    <tableColumn id="23" xr3:uid="{F821644B-BF0D-479F-842F-A7EC0BF13D23}" name="Прибыль на единицу" dataDxfId="14">
      <calculatedColumnFormula>Таблица2[[#This Row],[Profit]]/Таблица2[[#This Row],[Quantity]]</calculatedColumnFormula>
    </tableColumn>
    <tableColumn id="16" xr3:uid="{ABF26B3A-FA6B-44CC-A014-C98467F5CA36}" name="Количество заказов прибыль &gt;100" dataDxfId="13">
      <calculatedColumnFormula>COUNTIF(Таблица2[Profit],"&gt;S100")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B85665-B6F6-4F7E-A609-F8D7523FB885}" name="Table3" displayName="Table3" ref="H24:H25" totalsRowShown="0" headerRowDxfId="12" dataDxfId="11" tableBorderDxfId="10">
  <autoFilter ref="H24:H25" xr:uid="{E2B85665-B6F6-4F7E-A609-F8D7523FB885}"/>
  <tableColumns count="1">
    <tableColumn id="1" xr3:uid="{4F5E8AAB-0FA7-481D-A764-3EB268E7FB13}" name="Суммарная прибыль" dataDxfId="9">
      <calculatedColumnFormula>SUM(Таблица2[Profit])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6E76AB-13D3-42B1-9CCE-D2D939290294}" name="Table37" displayName="Table37" ref="D1:D2" totalsRowShown="0" headerRowDxfId="8" dataDxfId="7" tableBorderDxfId="6">
  <autoFilter ref="D1:D2" xr:uid="{106E76AB-13D3-42B1-9CCE-D2D939290294}"/>
  <tableColumns count="1">
    <tableColumn id="1" xr3:uid="{DFB05522-E94A-4710-ADE6-067CF987D969}" name="Суммарная прибыль" dataDxfId="5">
      <calculatedColumnFormula>SUM(Таблица2[Profit])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B367-9334-4514-B6EB-0F4294445F01}">
  <dimension ref="A3:B6"/>
  <sheetViews>
    <sheetView workbookViewId="0">
      <selection activeCell="J26" sqref="J26"/>
    </sheetView>
  </sheetViews>
  <sheetFormatPr defaultRowHeight="12.75" x14ac:dyDescent="0.2"/>
  <cols>
    <col min="1" max="1" width="14.85546875" bestFit="1" customWidth="1"/>
    <col min="2" max="2" width="25.28515625" bestFit="1" customWidth="1"/>
  </cols>
  <sheetData>
    <row r="3" spans="1:2" x14ac:dyDescent="0.2">
      <c r="A3" s="26" t="s">
        <v>6</v>
      </c>
      <c r="B3" t="s">
        <v>79</v>
      </c>
    </row>
    <row r="4" spans="1:2" x14ac:dyDescent="0.2">
      <c r="A4" t="s">
        <v>23</v>
      </c>
      <c r="B4">
        <v>7</v>
      </c>
    </row>
    <row r="5" spans="1:2" x14ac:dyDescent="0.2">
      <c r="A5" t="s">
        <v>29</v>
      </c>
      <c r="B5">
        <v>6</v>
      </c>
    </row>
    <row r="6" spans="1:2" x14ac:dyDescent="0.2">
      <c r="A6" t="s">
        <v>18</v>
      </c>
      <c r="B6">
        <v>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4"/>
  <sheetViews>
    <sheetView tabSelected="1" zoomScale="115" zoomScaleNormal="115" workbookViewId="0">
      <selection activeCell="S1" sqref="S1:S1048576"/>
    </sheetView>
  </sheetViews>
  <sheetFormatPr defaultColWidth="14.42578125" defaultRowHeight="20.100000000000001" customHeight="1" x14ac:dyDescent="0.2"/>
  <cols>
    <col min="1" max="1" width="14.42578125" style="5"/>
    <col min="2" max="2" width="14.42578125" style="6"/>
    <col min="3" max="4" width="14.42578125" style="5"/>
    <col min="5" max="5" width="15.5703125" style="5" customWidth="1"/>
    <col min="6" max="7" width="14.42578125" style="5"/>
    <col min="8" max="8" width="21.85546875" style="5" customWidth="1"/>
    <col min="9" max="10" width="14.42578125" style="5"/>
    <col min="11" max="11" width="14.42578125" style="7"/>
    <col min="12" max="12" width="14.42578125" style="8"/>
    <col min="13" max="14" width="14.42578125" style="7"/>
    <col min="15" max="16384" width="14.42578125" style="5"/>
  </cols>
  <sheetData>
    <row r="1" spans="1:18" ht="38.2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28" t="s">
        <v>11</v>
      </c>
      <c r="M1" s="27" t="s">
        <v>12</v>
      </c>
      <c r="N1" s="27" t="s">
        <v>13</v>
      </c>
      <c r="O1" s="1" t="s">
        <v>69</v>
      </c>
      <c r="P1" s="1" t="s">
        <v>72</v>
      </c>
      <c r="Q1" s="1" t="s">
        <v>73</v>
      </c>
      <c r="R1" s="1" t="s">
        <v>78</v>
      </c>
    </row>
    <row r="2" spans="1:18" ht="25.5" x14ac:dyDescent="0.2">
      <c r="A2" s="1">
        <v>1</v>
      </c>
      <c r="B2" s="3">
        <v>45292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2</v>
      </c>
      <c r="K2" s="4">
        <v>650</v>
      </c>
      <c r="L2" s="28">
        <v>0.05</v>
      </c>
      <c r="M2" s="27">
        <v>1235</v>
      </c>
      <c r="N2" s="27">
        <v>185</v>
      </c>
      <c r="O2" s="1" t="str">
        <f>IF(Таблица2[[#This Row],[Sales]]&gt;700,"Крупный",IF(Таблица2[[#This Row],[Sales]]&gt;300,"Средний","Мелкий"))</f>
        <v>Крупный</v>
      </c>
      <c r="P2" s="4">
        <f>(Таблица2[[#This Row],[Sales]])*(1-Таблица2[[#This Row],[Discount]])</f>
        <v>1173.25</v>
      </c>
      <c r="Q2" s="4">
        <f>Таблица2[[#This Row],[Profit]]/Таблица2[[#This Row],[Quantity]]</f>
        <v>92.5</v>
      </c>
      <c r="R2" s="1">
        <f>COUNTIF(Таблица2[Profit],"&gt;100")</f>
        <v>10</v>
      </c>
    </row>
    <row r="3" spans="1:18" ht="25.5" x14ac:dyDescent="0.2">
      <c r="A3" s="1">
        <v>2</v>
      </c>
      <c r="B3" s="3">
        <v>45293</v>
      </c>
      <c r="C3" s="1" t="s">
        <v>14</v>
      </c>
      <c r="D3" s="1" t="s">
        <v>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1</v>
      </c>
      <c r="K3" s="4">
        <v>320</v>
      </c>
      <c r="L3" s="28">
        <v>0</v>
      </c>
      <c r="M3" s="27">
        <v>320</v>
      </c>
      <c r="N3" s="27">
        <v>96</v>
      </c>
      <c r="O3" s="1" t="str">
        <f>IF(Таблица2[[#This Row],[Sales]]&gt;700,"Крупный",IF(Таблица2[[#This Row],[Sales]]&gt;300,"Средний","Мелкий"))</f>
        <v>Средний</v>
      </c>
      <c r="P3" s="4">
        <f>(Таблица2[[#This Row],[Sales]])*(1-Таблица2[[#This Row],[Discount]])</f>
        <v>320</v>
      </c>
      <c r="Q3" s="4">
        <f>Таблица2[[#This Row],[Profit]]/Таблица2[[#This Row],[Quantity]]</f>
        <v>96</v>
      </c>
      <c r="R3" s="1"/>
    </row>
    <row r="4" spans="1:18" ht="25.5" x14ac:dyDescent="0.2">
      <c r="A4" s="1">
        <v>3</v>
      </c>
      <c r="B4" s="3">
        <v>45294</v>
      </c>
      <c r="C4" s="1" t="s">
        <v>26</v>
      </c>
      <c r="D4" s="1" t="s">
        <v>27</v>
      </c>
      <c r="E4" s="1" t="s">
        <v>28</v>
      </c>
      <c r="F4" s="1" t="s">
        <v>17</v>
      </c>
      <c r="G4" s="1" t="s">
        <v>29</v>
      </c>
      <c r="H4" s="1" t="s">
        <v>30</v>
      </c>
      <c r="I4" s="1" t="s">
        <v>31</v>
      </c>
      <c r="J4" s="1">
        <v>5</v>
      </c>
      <c r="K4" s="4">
        <v>18</v>
      </c>
      <c r="L4" s="28">
        <v>0.1</v>
      </c>
      <c r="M4" s="27">
        <v>81</v>
      </c>
      <c r="N4" s="27">
        <v>11</v>
      </c>
      <c r="O4" s="1" t="str">
        <f>IF(Таблица2[[#This Row],[Sales]]&gt;700,"Крупный",IF(Таблица2[[#This Row],[Sales]]&gt;300,"Средний","Мелкий"))</f>
        <v>Мелкий</v>
      </c>
      <c r="P4" s="4">
        <f>(Таблица2[[#This Row],[Sales]])*(1-Таблица2[[#This Row],[Discount]])</f>
        <v>72.900000000000006</v>
      </c>
      <c r="Q4" s="4">
        <f>Таблица2[[#This Row],[Profit]]/Таблица2[[#This Row],[Quantity]]</f>
        <v>2.2000000000000002</v>
      </c>
      <c r="R4" s="1"/>
    </row>
    <row r="5" spans="1:18" ht="25.5" x14ac:dyDescent="0.2">
      <c r="A5" s="1">
        <v>4</v>
      </c>
      <c r="B5" s="3">
        <v>45296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18</v>
      </c>
      <c r="H5" s="1" t="s">
        <v>36</v>
      </c>
      <c r="I5" s="1" t="s">
        <v>37</v>
      </c>
      <c r="J5" s="1">
        <v>1</v>
      </c>
      <c r="K5" s="4">
        <v>980</v>
      </c>
      <c r="L5" s="28">
        <v>0.08</v>
      </c>
      <c r="M5" s="27">
        <v>901.6</v>
      </c>
      <c r="N5" s="27">
        <v>180</v>
      </c>
      <c r="O5" s="1" t="str">
        <f>IF(Таблица2[[#This Row],[Sales]]&gt;700,"Крупный",IF(Таблица2[[#This Row],[Sales]]&gt;300,"Средний","Мелкий"))</f>
        <v>Крупный</v>
      </c>
      <c r="P5" s="4">
        <f>(Таблица2[[#This Row],[Sales]])*(1-Таблица2[[#This Row],[Discount]])</f>
        <v>829.47200000000009</v>
      </c>
      <c r="Q5" s="4">
        <f>Таблица2[[#This Row],[Profit]]/Таблица2[[#This Row],[Quantity]]</f>
        <v>180</v>
      </c>
      <c r="R5" s="1"/>
    </row>
    <row r="6" spans="1:18" ht="25.5" x14ac:dyDescent="0.2">
      <c r="A6" s="1">
        <v>5</v>
      </c>
      <c r="B6" s="3">
        <v>45298</v>
      </c>
      <c r="C6" s="1" t="s">
        <v>14</v>
      </c>
      <c r="D6" s="1" t="s">
        <v>38</v>
      </c>
      <c r="E6" s="1" t="s">
        <v>16</v>
      </c>
      <c r="F6" s="1" t="s">
        <v>17</v>
      </c>
      <c r="G6" s="1" t="s">
        <v>23</v>
      </c>
      <c r="H6" s="1" t="s">
        <v>39</v>
      </c>
      <c r="I6" s="1" t="s">
        <v>40</v>
      </c>
      <c r="J6" s="1">
        <v>1</v>
      </c>
      <c r="K6" s="4">
        <v>450</v>
      </c>
      <c r="L6" s="28">
        <v>0</v>
      </c>
      <c r="M6" s="27">
        <v>450</v>
      </c>
      <c r="N6" s="27">
        <v>135</v>
      </c>
      <c r="O6" s="1" t="str">
        <f>IF(Таблица2[[#This Row],[Sales]]&gt;700,"Крупный",IF(Таблица2[[#This Row],[Sales]]&gt;300,"Средний","Мелкий"))</f>
        <v>Средний</v>
      </c>
      <c r="P6" s="4">
        <f>(Таблица2[[#This Row],[Sales]])*(1-Таблица2[[#This Row],[Discount]])</f>
        <v>450</v>
      </c>
      <c r="Q6" s="4">
        <f>Таблица2[[#This Row],[Profit]]/Таблица2[[#This Row],[Quantity]]</f>
        <v>135</v>
      </c>
      <c r="R6" s="1"/>
    </row>
    <row r="7" spans="1:18" ht="38.25" x14ac:dyDescent="0.2">
      <c r="A7" s="1">
        <v>6</v>
      </c>
      <c r="B7" s="3">
        <v>45301</v>
      </c>
      <c r="C7" s="1" t="s">
        <v>26</v>
      </c>
      <c r="D7" s="1" t="s">
        <v>41</v>
      </c>
      <c r="E7" s="1" t="s">
        <v>42</v>
      </c>
      <c r="F7" s="1" t="s">
        <v>22</v>
      </c>
      <c r="G7" s="1" t="s">
        <v>29</v>
      </c>
      <c r="H7" s="1" t="s">
        <v>43</v>
      </c>
      <c r="I7" s="1" t="s">
        <v>44</v>
      </c>
      <c r="J7" s="1">
        <v>3</v>
      </c>
      <c r="K7" s="4">
        <v>12</v>
      </c>
      <c r="L7" s="28">
        <v>0.15</v>
      </c>
      <c r="M7" s="27">
        <v>30.6</v>
      </c>
      <c r="N7" s="27">
        <v>4.5999999999999996</v>
      </c>
      <c r="O7" s="1" t="str">
        <f>IF(Таблица2[[#This Row],[Sales]]&gt;700,"Крупный",IF(Таблица2[[#This Row],[Sales]]&gt;300,"Средний","Мелкий"))</f>
        <v>Мелкий</v>
      </c>
      <c r="P7" s="4">
        <f>(Таблица2[[#This Row],[Sales]])*(1-Таблица2[[#This Row],[Discount]])</f>
        <v>26.01</v>
      </c>
      <c r="Q7" s="4">
        <f>Таблица2[[#This Row],[Profit]]/Таблица2[[#This Row],[Quantity]]</f>
        <v>1.5333333333333332</v>
      </c>
      <c r="R7" s="1"/>
    </row>
    <row r="8" spans="1:18" ht="12.75" x14ac:dyDescent="0.2">
      <c r="A8" s="1">
        <v>7</v>
      </c>
      <c r="B8" s="3">
        <v>45303</v>
      </c>
      <c r="C8" s="1" t="s">
        <v>32</v>
      </c>
      <c r="D8" s="1" t="s">
        <v>45</v>
      </c>
      <c r="E8" s="1" t="s">
        <v>21</v>
      </c>
      <c r="F8" s="1" t="s">
        <v>17</v>
      </c>
      <c r="G8" s="1" t="s">
        <v>18</v>
      </c>
      <c r="H8" s="1" t="s">
        <v>46</v>
      </c>
      <c r="I8" s="1" t="s">
        <v>47</v>
      </c>
      <c r="J8" s="1">
        <v>2</v>
      </c>
      <c r="K8" s="4">
        <v>420</v>
      </c>
      <c r="L8" s="28">
        <v>0.05</v>
      </c>
      <c r="M8" s="27">
        <v>798</v>
      </c>
      <c r="N8" s="27">
        <v>120</v>
      </c>
      <c r="O8" s="1" t="str">
        <f>IF(Таблица2[[#This Row],[Sales]]&gt;700,"Крупный",IF(Таблица2[[#This Row],[Sales]]&gt;300,"Средний","Мелкий"))</f>
        <v>Крупный</v>
      </c>
      <c r="P8" s="4">
        <f>(Таблица2[[#This Row],[Sales]])*(1-Таблица2[[#This Row],[Discount]])</f>
        <v>758.09999999999991</v>
      </c>
      <c r="Q8" s="4">
        <f>Таблица2[[#This Row],[Profit]]/Таблица2[[#This Row],[Quantity]]</f>
        <v>60</v>
      </c>
      <c r="R8" s="1"/>
    </row>
    <row r="9" spans="1:18" ht="25.5" x14ac:dyDescent="0.2">
      <c r="A9" s="1">
        <v>8</v>
      </c>
      <c r="B9" s="3">
        <v>45306</v>
      </c>
      <c r="C9" s="1" t="s">
        <v>14</v>
      </c>
      <c r="D9" s="1" t="s">
        <v>15</v>
      </c>
      <c r="E9" s="1" t="s">
        <v>34</v>
      </c>
      <c r="F9" s="1" t="s">
        <v>35</v>
      </c>
      <c r="G9" s="1" t="s">
        <v>23</v>
      </c>
      <c r="H9" s="1" t="s">
        <v>48</v>
      </c>
      <c r="I9" s="1" t="s">
        <v>49</v>
      </c>
      <c r="J9" s="1">
        <v>4</v>
      </c>
      <c r="K9" s="4">
        <v>85</v>
      </c>
      <c r="L9" s="28">
        <v>0</v>
      </c>
      <c r="M9" s="27">
        <v>340</v>
      </c>
      <c r="N9" s="27">
        <v>102</v>
      </c>
      <c r="O9" s="1" t="str">
        <f>IF(Таблица2[[#This Row],[Sales]]&gt;700,"Крупный",IF(Таблица2[[#This Row],[Sales]]&gt;300,"Средний","Мелкий"))</f>
        <v>Средний</v>
      </c>
      <c r="P9" s="4">
        <f>(Таблица2[[#This Row],[Sales]])*(1-Таблица2[[#This Row],[Discount]])</f>
        <v>340</v>
      </c>
      <c r="Q9" s="4">
        <f>Таблица2[[#This Row],[Profit]]/Таблица2[[#This Row],[Quantity]]</f>
        <v>25.5</v>
      </c>
      <c r="R9" s="1"/>
    </row>
    <row r="10" spans="1:18" ht="25.5" x14ac:dyDescent="0.2">
      <c r="A10" s="1">
        <v>9</v>
      </c>
      <c r="B10" s="3">
        <v>45309</v>
      </c>
      <c r="C10" s="1" t="s">
        <v>26</v>
      </c>
      <c r="D10" s="1" t="s">
        <v>27</v>
      </c>
      <c r="E10" s="1" t="s">
        <v>28</v>
      </c>
      <c r="F10" s="1" t="s">
        <v>17</v>
      </c>
      <c r="G10" s="1" t="s">
        <v>29</v>
      </c>
      <c r="H10" s="1" t="s">
        <v>50</v>
      </c>
      <c r="I10" s="1" t="s">
        <v>51</v>
      </c>
      <c r="J10" s="1">
        <v>10</v>
      </c>
      <c r="K10" s="4">
        <v>4.5</v>
      </c>
      <c r="L10" s="28">
        <v>0.2</v>
      </c>
      <c r="M10" s="27">
        <v>36</v>
      </c>
      <c r="N10" s="27">
        <v>5</v>
      </c>
      <c r="O10" s="1" t="str">
        <f>IF(Таблица2[[#This Row],[Sales]]&gt;700,"Крупный",IF(Таблица2[[#This Row],[Sales]]&gt;300,"Средний","Мелкий"))</f>
        <v>Мелкий</v>
      </c>
      <c r="P10" s="4">
        <f>(Таблица2[[#This Row],[Sales]])*(1-Таблица2[[#This Row],[Discount]])</f>
        <v>28.8</v>
      </c>
      <c r="Q10" s="4">
        <f>Таблица2[[#This Row],[Profit]]/Таблица2[[#This Row],[Quantity]]</f>
        <v>0.5</v>
      </c>
      <c r="R10" s="1"/>
    </row>
    <row r="11" spans="1:18" ht="12.75" x14ac:dyDescent="0.2">
      <c r="A11" s="1">
        <v>10</v>
      </c>
      <c r="B11" s="3">
        <v>45311</v>
      </c>
      <c r="C11" s="1" t="s">
        <v>32</v>
      </c>
      <c r="D11" s="1" t="s">
        <v>33</v>
      </c>
      <c r="E11" s="1" t="s">
        <v>16</v>
      </c>
      <c r="F11" s="1" t="s">
        <v>22</v>
      </c>
      <c r="G11" s="1" t="s">
        <v>18</v>
      </c>
      <c r="H11" s="1" t="s">
        <v>52</v>
      </c>
      <c r="I11" s="1" t="s">
        <v>53</v>
      </c>
      <c r="J11" s="1">
        <v>1</v>
      </c>
      <c r="K11" s="4">
        <v>380</v>
      </c>
      <c r="L11" s="28">
        <v>0.1</v>
      </c>
      <c r="M11" s="27">
        <v>342</v>
      </c>
      <c r="N11" s="27">
        <v>68</v>
      </c>
      <c r="O11" s="1" t="str">
        <f>IF(Таблица2[[#This Row],[Sales]]&gt;700,"Крупный",IF(Таблица2[[#This Row],[Sales]]&gt;300,"Средний","Мелкий"))</f>
        <v>Средний</v>
      </c>
      <c r="P11" s="4">
        <f>(Таблица2[[#This Row],[Sales]])*(1-Таблица2[[#This Row],[Discount]])</f>
        <v>307.8</v>
      </c>
      <c r="Q11" s="4">
        <f>Таблица2[[#This Row],[Profit]]/Таблица2[[#This Row],[Quantity]]</f>
        <v>68</v>
      </c>
      <c r="R11" s="1"/>
    </row>
    <row r="12" spans="1:18" ht="25.5" x14ac:dyDescent="0.2">
      <c r="A12" s="1">
        <v>11</v>
      </c>
      <c r="B12" s="3">
        <v>45313</v>
      </c>
      <c r="C12" s="1" t="s">
        <v>14</v>
      </c>
      <c r="D12" s="1" t="s">
        <v>15</v>
      </c>
      <c r="E12" s="1" t="s">
        <v>21</v>
      </c>
      <c r="F12" s="1" t="s">
        <v>17</v>
      </c>
      <c r="G12" s="1" t="s">
        <v>23</v>
      </c>
      <c r="H12" s="1" t="s">
        <v>24</v>
      </c>
      <c r="I12" s="1" t="s">
        <v>54</v>
      </c>
      <c r="J12" s="1">
        <v>1</v>
      </c>
      <c r="K12" s="4">
        <v>580</v>
      </c>
      <c r="L12" s="28">
        <v>0</v>
      </c>
      <c r="M12" s="27">
        <v>580</v>
      </c>
      <c r="N12" s="27">
        <v>174</v>
      </c>
      <c r="O12" s="1" t="str">
        <f>IF(Таблица2[[#This Row],[Sales]]&gt;700,"Крупный",IF(Таблица2[[#This Row],[Sales]]&gt;300,"Средний","Мелкий"))</f>
        <v>Средний</v>
      </c>
      <c r="P12" s="4">
        <f>(Таблица2[[#This Row],[Sales]])*(1-Таблица2[[#This Row],[Discount]])</f>
        <v>580</v>
      </c>
      <c r="Q12" s="4">
        <f>Таблица2[[#This Row],[Profit]]/Таблица2[[#This Row],[Quantity]]</f>
        <v>174</v>
      </c>
      <c r="R12" s="1"/>
    </row>
    <row r="13" spans="1:18" ht="25.5" x14ac:dyDescent="0.2">
      <c r="A13" s="1">
        <v>12</v>
      </c>
      <c r="B13" s="3">
        <v>45316</v>
      </c>
      <c r="C13" s="1" t="s">
        <v>26</v>
      </c>
      <c r="D13" s="1" t="s">
        <v>41</v>
      </c>
      <c r="E13" s="1" t="s">
        <v>42</v>
      </c>
      <c r="F13" s="1" t="s">
        <v>35</v>
      </c>
      <c r="G13" s="1" t="s">
        <v>29</v>
      </c>
      <c r="H13" s="1" t="s">
        <v>55</v>
      </c>
      <c r="I13" s="1" t="s">
        <v>56</v>
      </c>
      <c r="J13" s="1">
        <v>2</v>
      </c>
      <c r="K13" s="4">
        <v>35</v>
      </c>
      <c r="L13" s="28">
        <v>0.05</v>
      </c>
      <c r="M13" s="27">
        <v>66.5</v>
      </c>
      <c r="N13" s="27">
        <v>10</v>
      </c>
      <c r="O13" s="1" t="str">
        <f>IF(Таблица2[[#This Row],[Sales]]&gt;700,"Крупный",IF(Таблица2[[#This Row],[Sales]]&gt;300,"Средний","Мелкий"))</f>
        <v>Мелкий</v>
      </c>
      <c r="P13" s="4">
        <f>(Таблица2[[#This Row],[Sales]])*(1-Таблица2[[#This Row],[Discount]])</f>
        <v>63.174999999999997</v>
      </c>
      <c r="Q13" s="4">
        <f>Таблица2[[#This Row],[Profit]]/Таблица2[[#This Row],[Quantity]]</f>
        <v>5</v>
      </c>
      <c r="R13" s="1"/>
    </row>
    <row r="14" spans="1:18" ht="25.5" x14ac:dyDescent="0.2">
      <c r="A14" s="1">
        <v>13</v>
      </c>
      <c r="B14" s="3">
        <v>45318</v>
      </c>
      <c r="C14" s="1" t="s">
        <v>32</v>
      </c>
      <c r="D14" s="1" t="s">
        <v>45</v>
      </c>
      <c r="E14" s="1" t="s">
        <v>34</v>
      </c>
      <c r="F14" s="1" t="s">
        <v>17</v>
      </c>
      <c r="G14" s="1" t="s">
        <v>18</v>
      </c>
      <c r="H14" s="1" t="s">
        <v>57</v>
      </c>
      <c r="I14" s="1" t="s">
        <v>58</v>
      </c>
      <c r="J14" s="1">
        <v>1</v>
      </c>
      <c r="K14" s="4">
        <v>420</v>
      </c>
      <c r="L14" s="28">
        <v>0.12</v>
      </c>
      <c r="M14" s="27">
        <v>369.6</v>
      </c>
      <c r="N14" s="27">
        <v>74</v>
      </c>
      <c r="O14" s="1" t="str">
        <f>IF(Таблица2[[#This Row],[Sales]]&gt;700,"Крупный",IF(Таблица2[[#This Row],[Sales]]&gt;300,"Средний","Мелкий"))</f>
        <v>Средний</v>
      </c>
      <c r="P14" s="4">
        <f>(Таблица2[[#This Row],[Sales]])*(1-Таблица2[[#This Row],[Discount]])</f>
        <v>325.24800000000005</v>
      </c>
      <c r="Q14" s="4">
        <f>Таблица2[[#This Row],[Profit]]/Таблица2[[#This Row],[Quantity]]</f>
        <v>74</v>
      </c>
      <c r="R14" s="1"/>
    </row>
    <row r="15" spans="1:18" ht="25.5" x14ac:dyDescent="0.2">
      <c r="A15" s="1">
        <v>14</v>
      </c>
      <c r="B15" s="3">
        <v>45320</v>
      </c>
      <c r="C15" s="1" t="s">
        <v>14</v>
      </c>
      <c r="D15" s="1" t="s">
        <v>38</v>
      </c>
      <c r="E15" s="1" t="s">
        <v>28</v>
      </c>
      <c r="F15" s="1" t="s">
        <v>22</v>
      </c>
      <c r="G15" s="1" t="s">
        <v>23</v>
      </c>
      <c r="H15" s="1" t="s">
        <v>39</v>
      </c>
      <c r="I15" s="1" t="s">
        <v>59</v>
      </c>
      <c r="J15" s="1">
        <v>1</v>
      </c>
      <c r="K15" s="4">
        <v>720</v>
      </c>
      <c r="L15" s="28">
        <v>0</v>
      </c>
      <c r="M15" s="27">
        <v>720</v>
      </c>
      <c r="N15" s="27">
        <v>216</v>
      </c>
      <c r="O15" s="1" t="str">
        <f>IF(Таблица2[[#This Row],[Sales]]&gt;700,"Крупный",IF(Таблица2[[#This Row],[Sales]]&gt;300,"Средний","Мелкий"))</f>
        <v>Крупный</v>
      </c>
      <c r="P15" s="4">
        <f>(Таблица2[[#This Row],[Sales]])*(1-Таблица2[[#This Row],[Discount]])</f>
        <v>720</v>
      </c>
      <c r="Q15" s="4">
        <f>Таблица2[[#This Row],[Profit]]/Таблица2[[#This Row],[Quantity]]</f>
        <v>216</v>
      </c>
      <c r="R15" s="1"/>
    </row>
    <row r="16" spans="1:18" ht="25.5" x14ac:dyDescent="0.2">
      <c r="A16" s="1">
        <v>15</v>
      </c>
      <c r="B16" s="3">
        <v>45322</v>
      </c>
      <c r="C16" s="1" t="s">
        <v>26</v>
      </c>
      <c r="D16" s="1" t="s">
        <v>27</v>
      </c>
      <c r="E16" s="1" t="s">
        <v>16</v>
      </c>
      <c r="F16" s="1" t="s">
        <v>17</v>
      </c>
      <c r="G16" s="1" t="s">
        <v>29</v>
      </c>
      <c r="H16" s="1" t="s">
        <v>30</v>
      </c>
      <c r="I16" s="1" t="s">
        <v>31</v>
      </c>
      <c r="J16" s="1">
        <v>8</v>
      </c>
      <c r="K16" s="4">
        <v>18</v>
      </c>
      <c r="L16" s="28">
        <v>0.1</v>
      </c>
      <c r="M16" s="27">
        <v>129.6</v>
      </c>
      <c r="N16" s="27">
        <v>18</v>
      </c>
      <c r="O16" s="1" t="str">
        <f>IF(Таблица2[[#This Row],[Sales]]&gt;700,"Крупный",IF(Таблица2[[#This Row],[Sales]]&gt;300,"Средний","Мелкий"))</f>
        <v>Мелкий</v>
      </c>
      <c r="P16" s="4">
        <f>(Таблица2[[#This Row],[Sales]])*(1-Таблица2[[#This Row],[Discount]])</f>
        <v>116.64</v>
      </c>
      <c r="Q16" s="4">
        <f>Таблица2[[#This Row],[Profit]]/Таблица2[[#This Row],[Quantity]]</f>
        <v>2.25</v>
      </c>
      <c r="R16" s="1"/>
    </row>
    <row r="17" spans="1:21" ht="25.5" x14ac:dyDescent="0.2">
      <c r="A17" s="1">
        <v>16</v>
      </c>
      <c r="B17" s="3">
        <v>45324</v>
      </c>
      <c r="C17" s="1" t="s">
        <v>32</v>
      </c>
      <c r="D17" s="1" t="s">
        <v>33</v>
      </c>
      <c r="E17" s="1" t="s">
        <v>21</v>
      </c>
      <c r="F17" s="1" t="s">
        <v>35</v>
      </c>
      <c r="G17" s="1" t="s">
        <v>18</v>
      </c>
      <c r="H17" s="1" t="s">
        <v>36</v>
      </c>
      <c r="I17" s="1" t="s">
        <v>60</v>
      </c>
      <c r="J17" s="1">
        <v>2</v>
      </c>
      <c r="K17" s="4">
        <v>720</v>
      </c>
      <c r="L17" s="28">
        <v>0.08</v>
      </c>
      <c r="M17" s="27">
        <v>1324.8</v>
      </c>
      <c r="N17" s="27">
        <v>265</v>
      </c>
      <c r="O17" s="1" t="str">
        <f>IF(Таблица2[[#This Row],[Sales]]&gt;700,"Крупный",IF(Таблица2[[#This Row],[Sales]]&gt;300,"Средний","Мелкий"))</f>
        <v>Крупный</v>
      </c>
      <c r="P17" s="4">
        <f>(Таблица2[[#This Row],[Sales]])*(1-Таблица2[[#This Row],[Discount]])</f>
        <v>1218.816</v>
      </c>
      <c r="Q17" s="4">
        <f>Таблица2[[#This Row],[Profit]]/Таблица2[[#This Row],[Quantity]]</f>
        <v>132.5</v>
      </c>
      <c r="R17" s="1"/>
    </row>
    <row r="18" spans="1:21" ht="25.5" x14ac:dyDescent="0.2">
      <c r="A18" s="1">
        <v>17</v>
      </c>
      <c r="B18" s="3">
        <v>45326</v>
      </c>
      <c r="C18" s="1" t="s">
        <v>14</v>
      </c>
      <c r="D18" s="1" t="s">
        <v>15</v>
      </c>
      <c r="E18" s="1" t="s">
        <v>42</v>
      </c>
      <c r="F18" s="1" t="s">
        <v>17</v>
      </c>
      <c r="G18" s="1" t="s">
        <v>23</v>
      </c>
      <c r="H18" s="1" t="s">
        <v>48</v>
      </c>
      <c r="I18" s="1" t="s">
        <v>61</v>
      </c>
      <c r="J18" s="1">
        <v>3</v>
      </c>
      <c r="K18" s="4">
        <v>140</v>
      </c>
      <c r="L18" s="28">
        <v>0</v>
      </c>
      <c r="M18" s="27">
        <v>420</v>
      </c>
      <c r="N18" s="27">
        <v>126</v>
      </c>
      <c r="O18" s="1" t="str">
        <f>IF(Таблица2[[#This Row],[Sales]]&gt;700,"Крупный",IF(Таблица2[[#This Row],[Sales]]&gt;300,"Средний","Мелкий"))</f>
        <v>Средний</v>
      </c>
      <c r="P18" s="4">
        <f>(Таблица2[[#This Row],[Sales]])*(1-Таблица2[[#This Row],[Discount]])</f>
        <v>420</v>
      </c>
      <c r="Q18" s="4">
        <f>Таблица2[[#This Row],[Profit]]/Таблица2[[#This Row],[Quantity]]</f>
        <v>42</v>
      </c>
      <c r="R18" s="1"/>
    </row>
    <row r="19" spans="1:21" ht="25.5" x14ac:dyDescent="0.2">
      <c r="A19" s="1">
        <v>18</v>
      </c>
      <c r="B19" s="3">
        <v>45328</v>
      </c>
      <c r="C19" s="1" t="s">
        <v>26</v>
      </c>
      <c r="D19" s="1" t="s">
        <v>41</v>
      </c>
      <c r="E19" s="1" t="s">
        <v>34</v>
      </c>
      <c r="F19" s="1" t="s">
        <v>22</v>
      </c>
      <c r="G19" s="1" t="s">
        <v>29</v>
      </c>
      <c r="H19" s="1" t="s">
        <v>43</v>
      </c>
      <c r="I19" s="1" t="s">
        <v>62</v>
      </c>
      <c r="J19" s="1">
        <v>4</v>
      </c>
      <c r="K19" s="4">
        <v>15</v>
      </c>
      <c r="L19" s="28">
        <v>0.15</v>
      </c>
      <c r="M19" s="27">
        <v>51</v>
      </c>
      <c r="N19" s="27">
        <v>7.7</v>
      </c>
      <c r="O19" s="1" t="str">
        <f>IF(Таблица2[[#This Row],[Sales]]&gt;700,"Крупный",IF(Таблица2[[#This Row],[Sales]]&gt;300,"Средний","Мелкий"))</f>
        <v>Мелкий</v>
      </c>
      <c r="P19" s="4">
        <f>(Таблица2[[#This Row],[Sales]])*(1-Таблица2[[#This Row],[Discount]])</f>
        <v>43.35</v>
      </c>
      <c r="Q19" s="4">
        <f>Таблица2[[#This Row],[Profit]]/Таблица2[[#This Row],[Quantity]]</f>
        <v>1.925</v>
      </c>
      <c r="R19" s="1"/>
    </row>
    <row r="20" spans="1:21" ht="12.75" x14ac:dyDescent="0.2">
      <c r="A20" s="1">
        <v>19</v>
      </c>
      <c r="B20" s="3">
        <v>45330</v>
      </c>
      <c r="C20" s="1" t="s">
        <v>32</v>
      </c>
      <c r="D20" s="1" t="s">
        <v>45</v>
      </c>
      <c r="E20" s="1" t="s">
        <v>28</v>
      </c>
      <c r="F20" s="1" t="s">
        <v>17</v>
      </c>
      <c r="G20" s="1" t="s">
        <v>18</v>
      </c>
      <c r="H20" s="1" t="s">
        <v>46</v>
      </c>
      <c r="I20" s="1" t="s">
        <v>63</v>
      </c>
      <c r="J20" s="1">
        <v>3</v>
      </c>
      <c r="K20" s="4">
        <v>280</v>
      </c>
      <c r="L20" s="28">
        <v>0.05</v>
      </c>
      <c r="M20" s="27">
        <v>798</v>
      </c>
      <c r="N20" s="27">
        <v>120</v>
      </c>
      <c r="O20" s="1" t="str">
        <f>IF(Таблица2[[#This Row],[Sales]]&gt;700,"Крупный",IF(Таблица2[[#This Row],[Sales]]&gt;300,"Средний","Мелкий"))</f>
        <v>Крупный</v>
      </c>
      <c r="P20" s="4">
        <f>(Таблица2[[#This Row],[Sales]])*(1-Таблица2[[#This Row],[Discount]])</f>
        <v>758.09999999999991</v>
      </c>
      <c r="Q20" s="4">
        <f>Таблица2[[#This Row],[Profit]]/Таблица2[[#This Row],[Quantity]]</f>
        <v>40</v>
      </c>
      <c r="R20" s="1"/>
    </row>
    <row r="21" spans="1:21" ht="12.75" x14ac:dyDescent="0.2">
      <c r="A21" s="1">
        <v>20</v>
      </c>
      <c r="B21" s="3">
        <v>45332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23</v>
      </c>
      <c r="H21" s="1" t="s">
        <v>24</v>
      </c>
      <c r="I21" s="1" t="s">
        <v>64</v>
      </c>
      <c r="J21" s="1">
        <v>6</v>
      </c>
      <c r="K21" s="4">
        <v>95</v>
      </c>
      <c r="L21" s="28">
        <v>0.1</v>
      </c>
      <c r="M21" s="27">
        <v>513</v>
      </c>
      <c r="N21" s="27">
        <v>77</v>
      </c>
      <c r="O21" s="1" t="str">
        <f>IF(Таблица2[[#This Row],[Sales]]&gt;700,"Крупный",IF(Таблица2[[#This Row],[Sales]]&gt;300,"Средний","Мелкий"))</f>
        <v>Средний</v>
      </c>
      <c r="P21" s="4">
        <f>(Таблица2[[#This Row],[Sales]])*(1-Таблица2[[#This Row],[Discount]])</f>
        <v>461.7</v>
      </c>
      <c r="Q21" s="4">
        <f>Таблица2[[#This Row],[Profit]]/Таблица2[[#This Row],[Quantity]]</f>
        <v>12.833333333333334</v>
      </c>
      <c r="R21" s="1"/>
    </row>
    <row r="22" spans="1:21" ht="20.100000000000001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6"/>
      <c r="M22" s="15"/>
      <c r="N22" s="15"/>
      <c r="O22" s="14"/>
      <c r="P22" s="14"/>
      <c r="Q22" s="14"/>
      <c r="R22" s="14"/>
      <c r="S22" s="14"/>
      <c r="T22" s="14"/>
      <c r="U22" s="14"/>
    </row>
    <row r="23" spans="1:21" ht="27.75" x14ac:dyDescent="0.4">
      <c r="A23" s="29" t="s">
        <v>75</v>
      </c>
      <c r="B23" s="29"/>
      <c r="C23" s="29"/>
      <c r="D23" s="29"/>
      <c r="E23" s="29"/>
      <c r="F23" s="29"/>
      <c r="G23" s="29"/>
      <c r="R23" s="13"/>
    </row>
    <row r="24" spans="1:21" ht="38.25" x14ac:dyDescent="0.2">
      <c r="A24" s="9" t="s">
        <v>65</v>
      </c>
      <c r="B24" s="9" t="s">
        <v>66</v>
      </c>
      <c r="C24" s="9" t="s">
        <v>67</v>
      </c>
      <c r="D24" s="9" t="s">
        <v>68</v>
      </c>
      <c r="E24" s="9" t="s">
        <v>70</v>
      </c>
      <c r="F24" s="9" t="s">
        <v>71</v>
      </c>
      <c r="G24" s="9" t="s">
        <v>74</v>
      </c>
      <c r="H24" s="20" t="s">
        <v>76</v>
      </c>
      <c r="I24" s="21" t="s">
        <v>77</v>
      </c>
    </row>
    <row r="25" spans="1:21" ht="20.100000000000001" customHeight="1" x14ac:dyDescent="0.2">
      <c r="A25" s="10">
        <f>SUM(Таблица2[Sales])</f>
        <v>9506.7000000000007</v>
      </c>
      <c r="B25" s="10">
        <f>AVERAGE(Таблица2[Sales])</f>
        <v>475.33500000000004</v>
      </c>
      <c r="C25" s="10">
        <f>MAX(Таблица2[Profit])</f>
        <v>265</v>
      </c>
      <c r="D25" s="11">
        <f>COUNTIFS(C2:C21,"Центр")</f>
        <v>8</v>
      </c>
      <c r="E25" s="11">
        <f>COUNTIF(Таблица2[City],"Минск")</f>
        <v>6</v>
      </c>
      <c r="F25" s="11">
        <f>COUNTIF(Таблица2[Discount], "&gt;0")</f>
        <v>14</v>
      </c>
      <c r="G25" s="11">
        <f>COUNTIF(Таблица2[Тип Заказа],"Крупный")</f>
        <v>6</v>
      </c>
      <c r="H25" s="4">
        <f>SUM(Таблица2[Profit])</f>
        <v>1994.3</v>
      </c>
      <c r="I25" s="22">
        <f>AVERAGE(Таблица2[Discount])</f>
        <v>6.9000000000000006E-2</v>
      </c>
    </row>
    <row r="26" spans="1:21" ht="20.100000000000001" customHeight="1" x14ac:dyDescent="0.2">
      <c r="A26" s="12"/>
      <c r="B26" s="12"/>
      <c r="C26" s="12"/>
      <c r="D26" s="12"/>
      <c r="E26" s="17"/>
      <c r="F26" s="17"/>
      <c r="G26" s="19"/>
      <c r="I26" s="23"/>
    </row>
    <row r="27" spans="1:21" ht="20.100000000000001" customHeight="1" x14ac:dyDescent="0.2">
      <c r="A27" s="10"/>
      <c r="B27" s="10"/>
      <c r="C27" s="10"/>
      <c r="D27" s="10"/>
      <c r="E27" s="11"/>
      <c r="F27" s="11"/>
      <c r="G27" s="18"/>
      <c r="I27" s="22"/>
    </row>
    <row r="28" spans="1:21" ht="20.100000000000001" customHeight="1" x14ac:dyDescent="0.2">
      <c r="A28" s="12"/>
      <c r="B28" s="12"/>
      <c r="C28" s="12"/>
      <c r="D28" s="12"/>
      <c r="E28" s="17"/>
      <c r="F28" s="17"/>
      <c r="G28" s="19"/>
      <c r="I28" s="23"/>
    </row>
    <row r="29" spans="1:21" ht="20.100000000000001" customHeight="1" x14ac:dyDescent="0.2">
      <c r="A29" s="10"/>
      <c r="B29" s="10"/>
      <c r="C29" s="10"/>
      <c r="D29" s="10"/>
      <c r="E29" s="11"/>
      <c r="F29" s="11"/>
      <c r="G29" s="18"/>
      <c r="I29" s="22"/>
    </row>
    <row r="30" spans="1:21" ht="20.100000000000001" customHeight="1" x14ac:dyDescent="0.2">
      <c r="A30" s="12"/>
      <c r="B30" s="12"/>
      <c r="C30" s="12"/>
      <c r="D30" s="12"/>
      <c r="E30" s="17"/>
      <c r="F30" s="17"/>
      <c r="G30" s="19"/>
      <c r="I30" s="23"/>
    </row>
    <row r="31" spans="1:21" ht="20.100000000000001" customHeight="1" x14ac:dyDescent="0.2">
      <c r="A31" s="10"/>
      <c r="B31" s="10"/>
      <c r="C31" s="10"/>
      <c r="D31" s="10"/>
      <c r="E31" s="11"/>
      <c r="F31" s="11"/>
      <c r="G31" s="18"/>
      <c r="I31" s="22"/>
    </row>
    <row r="32" spans="1:21" ht="20.100000000000001" customHeight="1" x14ac:dyDescent="0.2">
      <c r="A32" s="12"/>
      <c r="B32" s="12"/>
      <c r="C32" s="12"/>
      <c r="D32" s="12"/>
      <c r="E32" s="17"/>
      <c r="F32" s="17"/>
      <c r="G32" s="19"/>
      <c r="I32" s="23"/>
    </row>
    <row r="33" spans="1:9" ht="20.100000000000001" customHeight="1" x14ac:dyDescent="0.2">
      <c r="A33" s="10"/>
      <c r="B33" s="10"/>
      <c r="C33" s="10"/>
      <c r="D33" s="10"/>
      <c r="E33" s="11"/>
      <c r="F33" s="11"/>
      <c r="G33" s="18"/>
      <c r="I33" s="22"/>
    </row>
    <row r="34" spans="1:9" ht="20.100000000000001" customHeight="1" x14ac:dyDescent="0.2">
      <c r="A34" s="12"/>
      <c r="B34" s="12"/>
      <c r="C34" s="12"/>
      <c r="D34" s="12"/>
      <c r="E34" s="17"/>
      <c r="F34" s="17"/>
      <c r="G34" s="19"/>
      <c r="I34" s="23"/>
    </row>
    <row r="35" spans="1:9" ht="20.100000000000001" customHeight="1" x14ac:dyDescent="0.2">
      <c r="A35" s="10"/>
      <c r="B35" s="10"/>
      <c r="C35" s="10"/>
      <c r="D35" s="10"/>
      <c r="E35" s="11"/>
      <c r="F35" s="11"/>
      <c r="G35" s="18"/>
      <c r="I35" s="22"/>
    </row>
    <row r="36" spans="1:9" ht="20.100000000000001" customHeight="1" x14ac:dyDescent="0.2">
      <c r="A36" s="12"/>
      <c r="B36" s="12"/>
      <c r="C36" s="12"/>
      <c r="D36" s="12"/>
      <c r="E36" s="17"/>
      <c r="F36" s="17"/>
      <c r="G36" s="19"/>
      <c r="I36" s="23"/>
    </row>
    <row r="37" spans="1:9" ht="20.100000000000001" customHeight="1" x14ac:dyDescent="0.2">
      <c r="A37" s="10"/>
      <c r="B37" s="10"/>
      <c r="C37" s="10"/>
      <c r="D37" s="10"/>
      <c r="E37" s="11"/>
      <c r="F37" s="11"/>
      <c r="G37" s="18"/>
      <c r="I37" s="22"/>
    </row>
    <row r="38" spans="1:9" ht="20.100000000000001" customHeight="1" x14ac:dyDescent="0.2">
      <c r="A38" s="12"/>
      <c r="B38" s="12"/>
      <c r="C38" s="12"/>
      <c r="D38" s="12"/>
      <c r="E38" s="17"/>
      <c r="F38" s="17"/>
      <c r="G38" s="19"/>
      <c r="I38" s="23"/>
    </row>
    <row r="39" spans="1:9" ht="20.100000000000001" customHeight="1" x14ac:dyDescent="0.2">
      <c r="A39" s="10"/>
      <c r="B39" s="10"/>
      <c r="C39" s="10"/>
      <c r="D39" s="10"/>
      <c r="E39" s="11"/>
      <c r="F39" s="11"/>
      <c r="G39" s="18"/>
      <c r="I39" s="22"/>
    </row>
    <row r="40" spans="1:9" ht="20.100000000000001" customHeight="1" x14ac:dyDescent="0.2">
      <c r="A40" s="12"/>
      <c r="B40" s="12"/>
      <c r="C40" s="12"/>
      <c r="D40" s="12"/>
      <c r="E40" s="17"/>
      <c r="F40" s="17"/>
      <c r="G40" s="19"/>
      <c r="I40" s="23"/>
    </row>
    <row r="41" spans="1:9" ht="20.100000000000001" customHeight="1" x14ac:dyDescent="0.2">
      <c r="A41" s="10"/>
      <c r="B41" s="10"/>
      <c r="C41" s="10"/>
      <c r="D41" s="10"/>
      <c r="E41" s="11"/>
      <c r="F41" s="11"/>
      <c r="G41" s="18"/>
      <c r="I41" s="22"/>
    </row>
    <row r="42" spans="1:9" ht="20.100000000000001" customHeight="1" x14ac:dyDescent="0.2">
      <c r="A42" s="12"/>
      <c r="B42" s="12"/>
      <c r="C42" s="12"/>
      <c r="D42" s="12"/>
      <c r="E42" s="17"/>
      <c r="F42" s="17"/>
      <c r="G42" s="19"/>
      <c r="I42" s="23"/>
    </row>
    <row r="43" spans="1:9" ht="20.100000000000001" customHeight="1" x14ac:dyDescent="0.2">
      <c r="A43" s="10"/>
      <c r="B43" s="10"/>
      <c r="C43" s="10"/>
      <c r="D43" s="10"/>
      <c r="E43" s="11"/>
      <c r="F43" s="11"/>
      <c r="G43" s="18"/>
      <c r="I43" s="22"/>
    </row>
    <row r="44" spans="1:9" ht="20.100000000000001" customHeight="1" x14ac:dyDescent="0.2">
      <c r="D44" s="12"/>
      <c r="E44" s="12"/>
      <c r="F44" s="12"/>
      <c r="G44" s="12"/>
      <c r="H44" s="17"/>
      <c r="I44" s="23"/>
    </row>
  </sheetData>
  <mergeCells count="1">
    <mergeCell ref="A23:G23"/>
  </mergeCells>
  <conditionalFormatting sqref="N2:N21">
    <cfRule type="cellIs" dxfId="4" priority="3" operator="lessThan">
      <formula>20</formula>
    </cfRule>
    <cfRule type="cellIs" dxfId="3" priority="4" operator="greaterThan">
      <formula>100</formula>
    </cfRule>
    <cfRule type="cellIs" dxfId="2" priority="5" operator="greaterThan">
      <formula>"100 BYN"</formula>
    </cfRule>
  </conditionalFormatting>
  <conditionalFormatting sqref="O2:O21">
    <cfRule type="cellIs" dxfId="1" priority="1" operator="equal">
      <formula>"Крупный"</formula>
    </cfRule>
  </conditionalFormatting>
  <conditionalFormatting sqref="P2:P21">
    <cfRule type="cellIs" dxfId="0" priority="2" operator="greaterThan">
      <formula>300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0466-3C14-4D27-A77A-BBDB7B5E92ED}">
  <dimension ref="A1:F20"/>
  <sheetViews>
    <sheetView workbookViewId="0">
      <selection activeCell="C2" sqref="C2"/>
    </sheetView>
  </sheetViews>
  <sheetFormatPr defaultRowHeight="12.75" x14ac:dyDescent="0.2"/>
  <cols>
    <col min="1" max="1" width="23" bestFit="1" customWidth="1"/>
    <col min="2" max="2" width="23.85546875" bestFit="1" customWidth="1"/>
    <col min="3" max="3" width="24.85546875" bestFit="1" customWidth="1"/>
    <col min="4" max="4" width="22.7109375" bestFit="1" customWidth="1"/>
    <col min="5" max="5" width="14.28515625" bestFit="1" customWidth="1"/>
  </cols>
  <sheetData>
    <row r="1" spans="1:6" x14ac:dyDescent="0.2">
      <c r="A1" s="24" t="s">
        <v>70</v>
      </c>
      <c r="B1" s="24" t="s">
        <v>71</v>
      </c>
      <c r="C1" s="24" t="s">
        <v>74</v>
      </c>
      <c r="D1" s="20" t="s">
        <v>76</v>
      </c>
      <c r="E1" s="25" t="s">
        <v>77</v>
      </c>
    </row>
    <row r="2" spans="1:6" x14ac:dyDescent="0.2">
      <c r="A2" s="11">
        <f>COUNTIF(Таблица2[City],"Минск")</f>
        <v>6</v>
      </c>
      <c r="B2" s="11">
        <f>COUNTIF(Таблица2[Discount], "&gt;0")</f>
        <v>14</v>
      </c>
      <c r="C2" s="11">
        <f>COUNTIF(Таблица2[Тип Заказа],"Крупный")</f>
        <v>6</v>
      </c>
      <c r="D2" s="4">
        <f>SUM(Таблица2[Profit])</f>
        <v>1994.3</v>
      </c>
      <c r="E2" s="22">
        <f>AVERAGE(Таблица2[Discount])</f>
        <v>6.9000000000000006E-2</v>
      </c>
    </row>
    <row r="3" spans="1:6" x14ac:dyDescent="0.2">
      <c r="A3" s="17"/>
      <c r="B3" s="17"/>
      <c r="C3" s="19"/>
      <c r="D3" s="17"/>
      <c r="E3" s="17"/>
      <c r="F3" s="5"/>
    </row>
    <row r="4" spans="1:6" x14ac:dyDescent="0.2">
      <c r="A4" s="11"/>
      <c r="B4" s="11"/>
      <c r="C4" s="18"/>
      <c r="D4" s="11"/>
      <c r="E4" s="11"/>
      <c r="F4" s="5"/>
    </row>
    <row r="5" spans="1:6" x14ac:dyDescent="0.2">
      <c r="A5" s="17"/>
      <c r="B5" s="17"/>
      <c r="C5" s="19"/>
      <c r="D5" s="17"/>
      <c r="E5" s="17"/>
      <c r="F5" s="5"/>
    </row>
    <row r="6" spans="1:6" x14ac:dyDescent="0.2">
      <c r="A6" s="11"/>
      <c r="B6" s="11"/>
      <c r="C6" s="18"/>
      <c r="D6" s="11"/>
      <c r="E6" s="11"/>
      <c r="F6" s="5"/>
    </row>
    <row r="7" spans="1:6" x14ac:dyDescent="0.2">
      <c r="A7" s="17"/>
      <c r="B7" s="17"/>
      <c r="C7" s="19"/>
      <c r="D7" s="17"/>
      <c r="E7" s="17"/>
      <c r="F7" s="5"/>
    </row>
    <row r="8" spans="1:6" x14ac:dyDescent="0.2">
      <c r="A8" s="11"/>
      <c r="B8" s="11"/>
      <c r="C8" s="18"/>
      <c r="D8" s="11"/>
      <c r="E8" s="11"/>
      <c r="F8" s="5"/>
    </row>
    <row r="9" spans="1:6" x14ac:dyDescent="0.2">
      <c r="A9" s="17"/>
      <c r="B9" s="17"/>
      <c r="C9" s="19"/>
      <c r="D9" s="17"/>
      <c r="E9" s="17"/>
      <c r="F9" s="5"/>
    </row>
    <row r="10" spans="1:6" x14ac:dyDescent="0.2">
      <c r="A10" s="11"/>
      <c r="B10" s="11"/>
      <c r="C10" s="18"/>
      <c r="D10" s="11"/>
      <c r="E10" s="11"/>
      <c r="F10" s="5"/>
    </row>
    <row r="11" spans="1:6" x14ac:dyDescent="0.2">
      <c r="A11" s="17"/>
      <c r="B11" s="17"/>
      <c r="C11" s="19"/>
      <c r="D11" s="17"/>
      <c r="E11" s="17"/>
      <c r="F11" s="5"/>
    </row>
    <row r="12" spans="1:6" x14ac:dyDescent="0.2">
      <c r="A12" s="11"/>
      <c r="B12" s="11"/>
      <c r="C12" s="18"/>
      <c r="D12" s="11"/>
      <c r="E12" s="11"/>
      <c r="F12" s="5"/>
    </row>
    <row r="13" spans="1:6" x14ac:dyDescent="0.2">
      <c r="A13" s="17"/>
      <c r="B13" s="17"/>
      <c r="C13" s="19"/>
      <c r="D13" s="17"/>
      <c r="E13" s="17"/>
      <c r="F13" s="5"/>
    </row>
    <row r="14" spans="1:6" x14ac:dyDescent="0.2">
      <c r="A14" s="11"/>
      <c r="B14" s="11"/>
      <c r="C14" s="18"/>
      <c r="D14" s="11"/>
      <c r="E14" s="11"/>
      <c r="F14" s="5"/>
    </row>
    <row r="15" spans="1:6" x14ac:dyDescent="0.2">
      <c r="A15" s="17"/>
      <c r="B15" s="17"/>
      <c r="C15" s="19"/>
      <c r="D15" s="17"/>
      <c r="E15" s="17"/>
      <c r="F15" s="5"/>
    </row>
    <row r="16" spans="1:6" x14ac:dyDescent="0.2">
      <c r="A16" s="11"/>
      <c r="B16" s="11"/>
      <c r="C16" s="18"/>
      <c r="D16" s="11"/>
      <c r="E16" s="11"/>
      <c r="F16" s="5"/>
    </row>
    <row r="17" spans="1:6" x14ac:dyDescent="0.2">
      <c r="A17" s="17"/>
      <c r="B17" s="17"/>
      <c r="C17" s="19"/>
      <c r="D17" s="17"/>
      <c r="E17" s="17"/>
      <c r="F17" s="5"/>
    </row>
    <row r="18" spans="1:6" x14ac:dyDescent="0.2">
      <c r="A18" s="11"/>
      <c r="B18" s="11"/>
      <c r="C18" s="18"/>
      <c r="D18" s="11"/>
      <c r="E18" s="11"/>
      <c r="F18" s="5"/>
    </row>
    <row r="19" spans="1:6" x14ac:dyDescent="0.2">
      <c r="A19" s="17"/>
      <c r="B19" s="17"/>
      <c r="C19" s="19"/>
      <c r="D19" s="17"/>
      <c r="E19" s="17"/>
      <c r="F19" s="5"/>
    </row>
    <row r="20" spans="1:6" x14ac:dyDescent="0.2">
      <c r="A20" s="11"/>
      <c r="B20" s="11"/>
      <c r="C20" s="18"/>
      <c r="D20" s="11"/>
      <c r="E20" s="11"/>
      <c r="F2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Продажи</vt:lpstr>
      <vt:lpstr>Отчёт1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 Ермоленко</cp:lastModifiedBy>
  <dcterms:modified xsi:type="dcterms:W3CDTF">2026-02-25T15:29:01Z</dcterms:modified>
</cp:coreProperties>
</file>