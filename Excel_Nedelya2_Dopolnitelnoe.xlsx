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\Рабочий стол\DataAnalyst\1\Таблицы\"/>
    </mc:Choice>
  </mc:AlternateContent>
  <xr:revisionPtr revIDLastSave="0" documentId="13_ncr:1_{2706A04F-14B9-43B0-9A7D-391AA92CB45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День 3-5 Сводные" sheetId="6" r:id="rId1"/>
    <sheet name="Дашборд1" sheetId="7" r:id="rId2"/>
    <sheet name="ТопВыручка" sheetId="12" r:id="rId3"/>
    <sheet name="Топ_Прибыль" sheetId="13" r:id="rId4"/>
    <sheet name="Продажи" sheetId="1" r:id="rId5"/>
    <sheet name="Дашборд2" sheetId="11" r:id="rId6"/>
  </sheets>
  <definedNames>
    <definedName name="_xlcn.WorksheetConnection_Тренировочнаятаблица№2Неделя2.xlsxТаблица11" hidden="1">Таблица1[]</definedName>
    <definedName name="_xlnm._FilterDatabase" localSheetId="4" hidden="1">Продажи!$J$1:$J$21</definedName>
    <definedName name="Срез_Category">#N/A</definedName>
    <definedName name="Срез_Category1">#N/A</definedName>
    <definedName name="Срез_Category2">#N/A</definedName>
    <definedName name="Срез_Category3">#N/A</definedName>
    <definedName name="Срез_City">#N/A</definedName>
    <definedName name="Срез_City1">#N/A</definedName>
    <definedName name="Срез_City2">#N/A</definedName>
    <definedName name="Срез_City3">#N/A</definedName>
    <definedName name="Срез_CustomerName">#N/A</definedName>
    <definedName name="Срез_ProductName">#N/A</definedName>
    <definedName name="Срез_Region">#N/A</definedName>
    <definedName name="Срез_Region1">#N/A</definedName>
    <definedName name="Срез_Region2">#N/A</definedName>
    <definedName name="Срез_Segment">#N/A</definedName>
    <definedName name="Срез_SubCategory">#N/A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876F7934-8845-4945-9796-88D515C7AA90}">
      <x14:pivotCaches>
        <pivotCache cacheId="3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1" name="Таблица1" connection="WorksheetConnection_Тренировочная таблица №2 (Неделя 2).xlsx!Таблица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Q2" i="1"/>
  <c r="R2" i="1"/>
  <c r="S2" i="1"/>
  <c r="T2" i="1"/>
  <c r="U2" i="1"/>
  <c r="V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J22" i="1"/>
  <c r="N22" i="1"/>
  <c r="W22" i="1" l="1"/>
  <c r="A22" i="1" l="1"/>
  <c r="M2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5C560-7E78-494B-8E15-400F6C2B8E87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B1A5CB2-529E-4635-9ABD-F93A268A969C}" name="WorksheetConnection_Тренировочная таблица №2 (Неделя 2).xlsx!Таблица1" type="102" refreshedVersion="8" minRefreshableVersion="5">
    <extLst>
      <ext xmlns:x15="http://schemas.microsoft.com/office/spreadsheetml/2010/11/main" uri="{DE250136-89BD-433C-8126-D09CA5730AF9}">
        <x15:connection id="Таблица1" autoDelete="1">
          <x15:rangePr sourceName="_xlcn.WorksheetConnection_Тренировочнаятаблица№2Неделя2.xlsxТаблица11"/>
        </x15:connection>
      </ext>
    </extLst>
  </connection>
</connections>
</file>

<file path=xl/sharedStrings.xml><?xml version="1.0" encoding="utf-8"?>
<sst xmlns="http://schemas.openxmlformats.org/spreadsheetml/2006/main" count="378" uniqueCount="107">
  <si>
    <t>OrderID</t>
  </si>
  <si>
    <t>OrderDate</t>
  </si>
  <si>
    <t>Region</t>
  </si>
  <si>
    <t>City</t>
  </si>
  <si>
    <t>CustomerName</t>
  </si>
  <si>
    <t>Segment</t>
  </si>
  <si>
    <t>Category</t>
  </si>
  <si>
    <t>SubCategory</t>
  </si>
  <si>
    <t>ProductName</t>
  </si>
  <si>
    <t>Quantity</t>
  </si>
  <si>
    <t>UnitPrice</t>
  </si>
  <si>
    <t>Discount</t>
  </si>
  <si>
    <t>Sales</t>
  </si>
  <si>
    <t>Profit</t>
  </si>
  <si>
    <t>Центр</t>
  </si>
  <si>
    <t>Минск</t>
  </si>
  <si>
    <t>Иванов</t>
  </si>
  <si>
    <t>Потребитель</t>
  </si>
  <si>
    <t>Техника</t>
  </si>
  <si>
    <t>Телефоны</t>
  </si>
  <si>
    <t>Samsung Galaxy A54</t>
  </si>
  <si>
    <t>Петрова</t>
  </si>
  <si>
    <t>Корпоратив</t>
  </si>
  <si>
    <t>Мебель</t>
  </si>
  <si>
    <t>Стулья</t>
  </si>
  <si>
    <t>Офисное кресло Ergo</t>
  </si>
  <si>
    <t>Север</t>
  </si>
  <si>
    <t>Витебск</t>
  </si>
  <si>
    <t>Сидоров</t>
  </si>
  <si>
    <t>Офисные товары</t>
  </si>
  <si>
    <t>Бумага</t>
  </si>
  <si>
    <t>Бумага А4 500 л.</t>
  </si>
  <si>
    <t>Юг</t>
  </si>
  <si>
    <t>Гомель</t>
  </si>
  <si>
    <t>Козлова</t>
  </si>
  <si>
    <t>Домашний офис</t>
  </si>
  <si>
    <t>Ноутбуки</t>
  </si>
  <si>
    <t>Lenovo IdeaPad 5</t>
  </si>
  <si>
    <t>Гродно</t>
  </si>
  <si>
    <t>Столы</t>
  </si>
  <si>
    <t>Письменный стол дуб</t>
  </si>
  <si>
    <t>Могилёв</t>
  </si>
  <si>
    <t>Смирнова</t>
  </si>
  <si>
    <t>Ручки</t>
  </si>
  <si>
    <t>Ручка шариковая 10 шт</t>
  </si>
  <si>
    <t>Брест</t>
  </si>
  <si>
    <t>Мониторы</t>
  </si>
  <si>
    <t>LG 27" 4K</t>
  </si>
  <si>
    <t>Полки</t>
  </si>
  <si>
    <t>Настенная полка 3 яруса</t>
  </si>
  <si>
    <t>Папки</t>
  </si>
  <si>
    <t>Скоросшиватель 10 шт</t>
  </si>
  <si>
    <t>Принтеры</t>
  </si>
  <si>
    <t>HP LaserJet Pro</t>
  </si>
  <si>
    <t>Кресло руководителя</t>
  </si>
  <si>
    <t>Калькуляторы</t>
  </si>
  <si>
    <t>Калькулятор настольный</t>
  </si>
  <si>
    <t>Наушники</t>
  </si>
  <si>
    <t>Sony WH-1000XM5</t>
  </si>
  <si>
    <t>Конференц-стол 240 см</t>
  </si>
  <si>
    <t>ASUS VivoBook 15</t>
  </si>
  <si>
    <t>Стеллаж металлический</t>
  </si>
  <si>
    <t>Ручка гелевая 12 шт</t>
  </si>
  <si>
    <t>Dell 24" IPS</t>
  </si>
  <si>
    <t>Стул конференц</t>
  </si>
  <si>
    <t>Общий итог</t>
  </si>
  <si>
    <t>янв</t>
  </si>
  <si>
    <t>фев</t>
  </si>
  <si>
    <t>Количество заказов</t>
  </si>
  <si>
    <t>Наименование товара</t>
  </si>
  <si>
    <t>Количество по регионам</t>
  </si>
  <si>
    <t>Категория товара</t>
  </si>
  <si>
    <t>Количество по категории</t>
  </si>
  <si>
    <t xml:space="preserve"> Сумма Profit</t>
  </si>
  <si>
    <t>Сумма продаж только по Минску и Технике</t>
  </si>
  <si>
    <t xml:space="preserve">Количество заказов с Profit &gt; 100 и Discount = 0 </t>
  </si>
  <si>
    <t>Средняя прибыль по крупным заказам</t>
  </si>
  <si>
    <t>Сумма продаж Мебели</t>
  </si>
  <si>
    <t>Сумма продаж техники</t>
  </si>
  <si>
    <t>Сумма продаж Офисных товаров</t>
  </si>
  <si>
    <t>Количество заказов со скидкой больше 5% и выручкой больше 500 Br</t>
  </si>
  <si>
    <t>Регион</t>
  </si>
  <si>
    <t>Выручка</t>
  </si>
  <si>
    <t>Прибыль</t>
  </si>
  <si>
    <t>Фамилия покупателя</t>
  </si>
  <si>
    <t>Месяц</t>
  </si>
  <si>
    <t>Динамика продаж</t>
  </si>
  <si>
    <t>.</t>
  </si>
  <si>
    <t>ВЫВОДЫ</t>
  </si>
  <si>
    <t>Лучший покупатель - Петрова, выручка составила 655 Br</t>
  </si>
  <si>
    <t>Январь оказался самым прибыльным месяцем - 6399,90 Br</t>
  </si>
  <si>
    <t>Товар</t>
  </si>
  <si>
    <t>Количество проданного товара</t>
  </si>
  <si>
    <t>Самым продаваемым товаром стала Бумага - 13 штук</t>
  </si>
  <si>
    <t>Самым прибыльным товаром оказались ноутбуки - 445 Br</t>
  </si>
  <si>
    <t>"Центр" дал больше всего выручки - 1111 Br</t>
  </si>
  <si>
    <t>Выручка без скидки</t>
  </si>
  <si>
    <t>% от итога</t>
  </si>
  <si>
    <t>Город</t>
  </si>
  <si>
    <t>Сумма по столбцу Profit</t>
  </si>
  <si>
    <t>Выручка по доле в %</t>
  </si>
  <si>
    <t>Категория</t>
  </si>
  <si>
    <t>Количество</t>
  </si>
  <si>
    <t>Выручка по месяцам</t>
  </si>
  <si>
    <t>Выручка по регионам</t>
  </si>
  <si>
    <t>Сегмент</t>
  </si>
  <si>
    <t>Средняя 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</si>
</sst>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[$Br-423]_-;\-* #,##0.00\ [$Br-423]_-;_-* &quot;-&quot;??\ [$Br-423]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4" borderId="1" xfId="0" applyFill="1" applyBorder="1"/>
  </cellXfs>
  <cellStyles count="1">
    <cellStyle name="Обычный" xfId="0" builtinId="0"/>
  </cellStyles>
  <dxfs count="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_-* #,##0.00\ [$Br-423]_-;\-* #,##0.00\ [$Br-423]_-;_-* &quot;-&quot;??\ [$Br-423]_-;_-@_-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Стиль среза 1" pivot="0" table="0" count="0" xr9:uid="{D0370800-DB5E-40C9-AF61-AE00B5C5F2AC}"/>
  </tableStyles>
  <extLst>
    <ext xmlns:x14="http://schemas.microsoft.com/office/spreadsheetml/2009/9/main" uri="{EB79DEF2-80B8-43e5-95BD-54CBDDF9020C}">
      <x14:slicerStyles defaultSlicerStyle="SlicerStyleLight1">
        <x14:slicerStyle name="Стиль среза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microsoft.com/office/2007/relationships/slicerCache" Target="slicerCaches/slicerCache1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microsoft.com/office/2007/relationships/slicerCache" Target="slicerCaches/slicerCache1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microsoft.com/office/2007/relationships/slicerCache" Target="slicerCaches/slicerCache13.xml"/><Relationship Id="rId28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19" Type="http://schemas.microsoft.com/office/2007/relationships/slicerCache" Target="slicerCaches/slicerCache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4.xml"/><Relationship Id="rId22" Type="http://schemas.microsoft.com/office/2007/relationships/slicerCache" Target="slicerCaches/slicerCache12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[Excel_Nedelya2_Dopolnitelnoe.xlsx]ТопВыручка!Сводная таблица2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Pareto:</a:t>
            </a:r>
            <a:r>
              <a:rPr lang="ru-RU" sz="2000"/>
              <a:t>Топ товаров по выручке (80/20)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25424154516574"/>
          <c:y val="8.1413883609376431E-2"/>
          <c:w val="0.64564806791495566"/>
          <c:h val="0.79862449090415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ТопВыручка!$B$3</c:f>
              <c:strCache>
                <c:ptCount val="1"/>
                <c:pt idx="0">
                  <c:v>Выручка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ТопВыручка!$A$4:$A$9</c:f>
              <c:strCache>
                <c:ptCount val="5"/>
                <c:pt idx="0">
                  <c:v>LG 27" 4K</c:v>
                </c:pt>
                <c:pt idx="1">
                  <c:v>Dell 24" IPS</c:v>
                </c:pt>
                <c:pt idx="2">
                  <c:v>Lenovo IdeaPad 5</c:v>
                </c:pt>
                <c:pt idx="3">
                  <c:v>Samsung Galaxy A54</c:v>
                </c:pt>
                <c:pt idx="4">
                  <c:v>ASUS VivoBook 15</c:v>
                </c:pt>
              </c:strCache>
            </c:strRef>
          </c:cat>
          <c:val>
            <c:numRef>
              <c:f>ТопВыручка!$B$4:$B$9</c:f>
              <c:numCache>
                <c:formatCode>_-* #\ ##0.00\ [$Br-423]_-;\-* #\ ##0.00\ [$Br-423]_-;_-* "-"??\ [$Br-423]_-;_-@_-</c:formatCode>
                <c:ptCount val="5"/>
                <c:pt idx="0">
                  <c:v>798</c:v>
                </c:pt>
                <c:pt idx="1">
                  <c:v>798</c:v>
                </c:pt>
                <c:pt idx="2">
                  <c:v>901.6</c:v>
                </c:pt>
                <c:pt idx="3">
                  <c:v>1235</c:v>
                </c:pt>
                <c:pt idx="4">
                  <c:v>1324.8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8-4977-BD28-F99D39AD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79232879"/>
        <c:axId val="1944996864"/>
      </c:barChart>
      <c:lineChart>
        <c:grouping val="standard"/>
        <c:varyColors val="0"/>
        <c:ser>
          <c:idx val="1"/>
          <c:order val="1"/>
          <c:tx>
            <c:strRef>
              <c:f>ТопВыручка!$C$3</c:f>
              <c:strCache>
                <c:ptCount val="1"/>
                <c:pt idx="0">
                  <c:v>% от итога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ТопВыручка!$A$4:$A$9</c:f>
              <c:strCache>
                <c:ptCount val="5"/>
                <c:pt idx="0">
                  <c:v>LG 27" 4K</c:v>
                </c:pt>
                <c:pt idx="1">
                  <c:v>Dell 24" IPS</c:v>
                </c:pt>
                <c:pt idx="2">
                  <c:v>Lenovo IdeaPad 5</c:v>
                </c:pt>
                <c:pt idx="3">
                  <c:v>Samsung Galaxy A54</c:v>
                </c:pt>
                <c:pt idx="4">
                  <c:v>ASUS VivoBook 15</c:v>
                </c:pt>
              </c:strCache>
            </c:strRef>
          </c:cat>
          <c:val>
            <c:numRef>
              <c:f>ТопВыручка!$C$4:$C$9</c:f>
              <c:numCache>
                <c:formatCode>0.00%</c:formatCode>
                <c:ptCount val="5"/>
                <c:pt idx="0">
                  <c:v>0.15778858702099893</c:v>
                </c:pt>
                <c:pt idx="1">
                  <c:v>0.15778858702099893</c:v>
                </c:pt>
                <c:pt idx="2">
                  <c:v>0.1782734211254795</c:v>
                </c:pt>
                <c:pt idx="3">
                  <c:v>0.24419662277059359</c:v>
                </c:pt>
                <c:pt idx="4">
                  <c:v>0.26195278206192907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8-4977-BD28-F99D39AD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233839"/>
        <c:axId val="379231439"/>
      </c:lineChart>
      <c:catAx>
        <c:axId val="37923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Наиманование товара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4996864"/>
        <c:crosses val="autoZero"/>
        <c:auto val="1"/>
        <c:lblAlgn val="ctr"/>
        <c:lblOffset val="100"/>
        <c:noMultiLvlLbl val="0"/>
      </c:catAx>
      <c:valAx>
        <c:axId val="19449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выручка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.00\ [$Br-423]_-;\-* #\ ##0.00\ [$Br-423]_-;_-* &quot;-&quot;??\ [$Br-423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232879"/>
        <c:crosses val="autoZero"/>
        <c:crossBetween val="between"/>
      </c:valAx>
      <c:valAx>
        <c:axId val="379231439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Кумулятивный</a:t>
                </a:r>
                <a:r>
                  <a:rPr lang="ru-RU" baseline="0"/>
                  <a:t> %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1509563098871005"/>
              <c:y val="0.317162820164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233839"/>
        <c:crosses val="max"/>
        <c:crossBetween val="between"/>
      </c:valAx>
      <c:catAx>
        <c:axId val="37923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9231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1738437001595"/>
          <c:y val="7.640510453434707E-4"/>
          <c:w val="0.11523125996810209"/>
          <c:h val="0.2408051407367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[Excel_Nedelya2_Dopolnitelnoe.xlsx]Дашборд2!Сводная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/>
              <a:t>График</a:t>
            </a:r>
            <a:r>
              <a:rPr lang="ru-RU" sz="2000" baseline="0"/>
              <a:t> Прибыли</a:t>
            </a:r>
            <a:r>
              <a:rPr lang="en-US" sz="2000" baseline="0">
                <a:latin typeface="Bernard MT Condensed" panose="02050806060905020404" pitchFamily="18" charset="0"/>
              </a:rPr>
              <a:t>/</a:t>
            </a:r>
            <a:r>
              <a:rPr lang="ru-RU" sz="2000" baseline="0"/>
              <a:t>Выручки</a:t>
            </a:r>
            <a:endParaRPr lang="ru-RU" sz="2000"/>
          </a:p>
        </c:rich>
      </c:tx>
      <c:layout>
        <c:manualLayout>
          <c:xMode val="edge"/>
          <c:yMode val="edge"/>
          <c:x val="0.15972058058444252"/>
          <c:y val="5.0925885819584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2602799650045"/>
          <c:y val="0.2572178477690289"/>
          <c:w val="0.60019619422572179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Дашборд2!$B$2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Дашборд2!$A$3:$A$6</c:f>
              <c:strCache>
                <c:ptCount val="3"/>
                <c:pt idx="0">
                  <c:v>Север</c:v>
                </c:pt>
                <c:pt idx="1">
                  <c:v>Центр</c:v>
                </c:pt>
                <c:pt idx="2">
                  <c:v>Юг</c:v>
                </c:pt>
              </c:strCache>
            </c:strRef>
          </c:cat>
          <c:val>
            <c:numRef>
              <c:f>Дашборд2!$B$3:$B$6</c:f>
              <c:numCache>
                <c:formatCode>_-* #\ ##0.00\ [$Br-423]_-;\-* #\ ##0.00\ [$Br-423]_-;_-* "-"??\ [$Br-423]_-;_-@_-</c:formatCode>
                <c:ptCount val="3"/>
                <c:pt idx="0">
                  <c:v>394.7</c:v>
                </c:pt>
                <c:pt idx="1">
                  <c:v>4578</c:v>
                </c:pt>
                <c:pt idx="2">
                  <c:v>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E-48E7-BF07-7F9033EBD30D}"/>
            </c:ext>
          </c:extLst>
        </c:ser>
        <c:ser>
          <c:idx val="1"/>
          <c:order val="1"/>
          <c:tx>
            <c:strRef>
              <c:f>Дашборд2!$C$2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Дашборд2!$A$3:$A$6</c:f>
              <c:strCache>
                <c:ptCount val="3"/>
                <c:pt idx="0">
                  <c:v>Север</c:v>
                </c:pt>
                <c:pt idx="1">
                  <c:v>Центр</c:v>
                </c:pt>
                <c:pt idx="2">
                  <c:v>Юг</c:v>
                </c:pt>
              </c:strCache>
            </c:strRef>
          </c:cat>
          <c:val>
            <c:numRef>
              <c:f>Дашборд2!$C$3:$C$6</c:f>
              <c:numCache>
                <c:formatCode>_-* #\ ##0.00\ [$Br-423]_-;\-* #\ ##0.00\ [$Br-423]_-;_-* "-"??\ [$Br-423]_-;_-@_-</c:formatCode>
                <c:ptCount val="3"/>
                <c:pt idx="0">
                  <c:v>56.300000000000004</c:v>
                </c:pt>
                <c:pt idx="1">
                  <c:v>1111</c:v>
                </c:pt>
                <c:pt idx="2">
                  <c:v>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E-48E7-BF07-7F9033EBD3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4762351"/>
        <c:axId val="604761871"/>
      </c:lineChart>
      <c:catAx>
        <c:axId val="6047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761871"/>
        <c:crosses val="autoZero"/>
        <c:auto val="1"/>
        <c:lblAlgn val="ctr"/>
        <c:lblOffset val="100"/>
        <c:noMultiLvlLbl val="0"/>
      </c:catAx>
      <c:valAx>
        <c:axId val="6047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Br-423]_-;\-* #\ ##0.00\ [$Br-423]_-;_-* &quot;-&quot;??\ [$Br-423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76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[Excel_Nedelya2_Dopolnitelnoe.xlsx]Дашборд2!Сводная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Итоговая выручка от покупателей</a:t>
            </a:r>
          </a:p>
        </c:rich>
      </c:tx>
      <c:layout>
        <c:manualLayout>
          <c:xMode val="edge"/>
          <c:yMode val="edge"/>
          <c:x val="0.2412845581802274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225784525938239"/>
          <c:y val="0.19598640054785671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Дашборд2!$F$2</c:f>
              <c:strCache>
                <c:ptCount val="1"/>
                <c:pt idx="0">
                  <c:v>Итог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44-47D5-A0E5-C08C9F68DD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44-47D5-A0E5-C08C9F68DD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44-47D5-A0E5-C08C9F68DD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44-47D5-A0E5-C08C9F68DD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44-47D5-A0E5-C08C9F68DD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Дашборд2!$E$3:$E$8</c:f>
              <c:strCache>
                <c:ptCount val="5"/>
                <c:pt idx="0">
                  <c:v>Петрова</c:v>
                </c:pt>
                <c:pt idx="1">
                  <c:v>Иванов</c:v>
                </c:pt>
                <c:pt idx="2">
                  <c:v>Козлова</c:v>
                </c:pt>
                <c:pt idx="3">
                  <c:v>Сидоров</c:v>
                </c:pt>
                <c:pt idx="4">
                  <c:v>Смирнова</c:v>
                </c:pt>
              </c:strCache>
            </c:strRef>
          </c:cat>
          <c:val>
            <c:numRef>
              <c:f>Дашборд2!$F$3:$F$8</c:f>
              <c:numCache>
                <c:formatCode>_-* #\ ##0.00\ [$Br-423]_-;\-* #\ ##0.00\ [$Br-423]_-;_-* "-"??\ [$Br-423]_-;_-@_-</c:formatCode>
                <c:ptCount val="5"/>
                <c:pt idx="0">
                  <c:v>655</c:v>
                </c:pt>
                <c:pt idx="1">
                  <c:v>483</c:v>
                </c:pt>
                <c:pt idx="2">
                  <c:v>363.7</c:v>
                </c:pt>
                <c:pt idx="3">
                  <c:v>352</c:v>
                </c:pt>
                <c:pt idx="4">
                  <c:v>140.6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F-4B6F-BA77-63C427EC2F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47410358565736"/>
          <c:y val="0.24711803053923317"/>
          <c:w val="0.27556440903054447"/>
          <c:h val="0.6153031981242823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2</xdr:row>
      <xdr:rowOff>114300</xdr:rowOff>
    </xdr:from>
    <xdr:to>
      <xdr:col>14</xdr:col>
      <xdr:colOff>28575</xdr:colOff>
      <xdr:row>14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9126DDE0-5122-9B6E-D5A4-B7A965AF4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5075" y="495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28575</xdr:colOff>
      <xdr:row>16</xdr:row>
      <xdr:rowOff>0</xdr:rowOff>
    </xdr:from>
    <xdr:to>
      <xdr:col>14</xdr:col>
      <xdr:colOff>28575</xdr:colOff>
      <xdr:row>29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y">
              <a:extLst>
                <a:ext uri="{FF2B5EF4-FFF2-40B4-BE49-F238E27FC236}">
                  <a16:creationId xmlns:a16="http://schemas.microsoft.com/office/drawing/2014/main" id="{4FB57B25-C1F4-7623-C4BE-D914EE7755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5075" y="3238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9525</xdr:colOff>
      <xdr:row>16</xdr:row>
      <xdr:rowOff>19050</xdr:rowOff>
    </xdr:from>
    <xdr:to>
      <xdr:col>10</xdr:col>
      <xdr:colOff>76200</xdr:colOff>
      <xdr:row>29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egment">
              <a:extLst>
                <a:ext uri="{FF2B5EF4-FFF2-40B4-BE49-F238E27FC236}">
                  <a16:creationId xmlns:a16="http://schemas.microsoft.com/office/drawing/2014/main" id="{3B65CE69-0725-7155-AE36-3E12DF9359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62900" y="32575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1076325</xdr:colOff>
      <xdr:row>2</xdr:row>
      <xdr:rowOff>161925</xdr:rowOff>
    </xdr:from>
    <xdr:to>
      <xdr:col>9</xdr:col>
      <xdr:colOff>1143000</xdr:colOff>
      <xdr:row>15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BC3C3878-C76C-811E-26D5-DDB8B6B70D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7175" y="542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7</xdr:row>
      <xdr:rowOff>0</xdr:rowOff>
    </xdr:from>
    <xdr:to>
      <xdr:col>6</xdr:col>
      <xdr:colOff>1419225</xdr:colOff>
      <xdr:row>12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9F17CDD7-71F3-B873-250B-679D01B5D3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50" y="1524000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781050</xdr:colOff>
      <xdr:row>6</xdr:row>
      <xdr:rowOff>180975</xdr:rowOff>
    </xdr:from>
    <xdr:to>
      <xdr:col>5</xdr:col>
      <xdr:colOff>209550</xdr:colOff>
      <xdr:row>17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y 1">
              <a:extLst>
                <a:ext uri="{FF2B5EF4-FFF2-40B4-BE49-F238E27FC236}">
                  <a16:creationId xmlns:a16="http://schemas.microsoft.com/office/drawing/2014/main" id="{F53881E3-13FD-DB4C-5CA9-7FE4FA6324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1514475"/>
              <a:ext cx="18288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171450</xdr:colOff>
      <xdr:row>0</xdr:row>
      <xdr:rowOff>152400</xdr:rowOff>
    </xdr:from>
    <xdr:to>
      <xdr:col>6</xdr:col>
      <xdr:colOff>1390650</xdr:colOff>
      <xdr:row>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F3055449-A869-209E-0F10-405FA2B10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8375" y="152400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1428750</xdr:colOff>
      <xdr:row>1</xdr:row>
      <xdr:rowOff>314325</xdr:rowOff>
    </xdr:from>
    <xdr:to>
      <xdr:col>9</xdr:col>
      <xdr:colOff>238125</xdr:colOff>
      <xdr:row>25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ductName">
              <a:extLst>
                <a:ext uri="{FF2B5EF4-FFF2-40B4-BE49-F238E27FC236}">
                  <a16:creationId xmlns:a16="http://schemas.microsoft.com/office/drawing/2014/main" id="{B5C326F6-1C05-79EA-DBDF-53C0DA000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5" y="504825"/>
              <a:ext cx="1828800" cy="474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11</xdr:row>
      <xdr:rowOff>152400</xdr:rowOff>
    </xdr:from>
    <xdr:to>
      <xdr:col>2</xdr:col>
      <xdr:colOff>76200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 3">
              <a:extLst>
                <a:ext uri="{FF2B5EF4-FFF2-40B4-BE49-F238E27FC236}">
                  <a16:creationId xmlns:a16="http://schemas.microsoft.com/office/drawing/2014/main" id="{CCA5B99D-1C34-6B14-3695-16B0AB90E3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22479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266700</xdr:colOff>
      <xdr:row>11</xdr:row>
      <xdr:rowOff>76200</xdr:rowOff>
    </xdr:from>
    <xdr:to>
      <xdr:col>5</xdr:col>
      <xdr:colOff>9525</xdr:colOff>
      <xdr:row>24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y 3">
              <a:extLst>
                <a:ext uri="{FF2B5EF4-FFF2-40B4-BE49-F238E27FC236}">
                  <a16:creationId xmlns:a16="http://schemas.microsoft.com/office/drawing/2014/main" id="{9E361B55-E00E-0331-BE8C-1BF449A28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2171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7</xdr:col>
      <xdr:colOff>285750</xdr:colOff>
      <xdr:row>1</xdr:row>
      <xdr:rowOff>38100</xdr:rowOff>
    </xdr:from>
    <xdr:to>
      <xdr:col>20</xdr:col>
      <xdr:colOff>323850</xdr:colOff>
      <xdr:row>30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2F58325-688D-2544-12BD-9355892DC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0.08709</cdr:x>
      <cdr:y>0.23705</cdr:y>
    </cdr:from>
    <cdr:to>
      <cdr:x>0.7958</cdr:x>
      <cdr:y>0.23705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4756995E-BBED-5B04-A779-CCDAE47CD259}"/>
            </a:ext>
          </a:extLst>
        </cdr:cNvPr>
        <cdr:cNvCxnSpPr/>
      </cdr:nvCxnSpPr>
      <cdr:spPr>
        <a:xfrm xmlns:a="http://schemas.openxmlformats.org/drawingml/2006/main" flipH="1">
          <a:off x="552450" y="1023938"/>
          <a:ext cx="4495800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3"/>
          </a:solidFill>
          <a:prstDash val="solid"/>
          <a:round/>
          <a:headEnd type="arrow" w="med" len="med"/>
          <a:tailEnd type="arrow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133350</xdr:rowOff>
    </xdr:from>
    <xdr:to>
      <xdr:col>2</xdr:col>
      <xdr:colOff>295275</xdr:colOff>
      <xdr:row>11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2">
              <a:extLst>
                <a:ext uri="{FF2B5EF4-FFF2-40B4-BE49-F238E27FC236}">
                  <a16:creationId xmlns:a16="http://schemas.microsoft.com/office/drawing/2014/main" id="{611FC98A-AC63-EBAE-0E62-21C804E477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323975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400050</xdr:colOff>
      <xdr:row>8</xdr:row>
      <xdr:rowOff>76200</xdr:rowOff>
    </xdr:from>
    <xdr:to>
      <xdr:col>4</xdr:col>
      <xdr:colOff>838200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y 2">
              <a:extLst>
                <a:ext uri="{FF2B5EF4-FFF2-40B4-BE49-F238E27FC236}">
                  <a16:creationId xmlns:a16="http://schemas.microsoft.com/office/drawing/2014/main" id="{15CCA270-5D59-A3C5-1633-48412E264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675" y="1647825"/>
              <a:ext cx="18288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904875</xdr:colOff>
      <xdr:row>8</xdr:row>
      <xdr:rowOff>95250</xdr:rowOff>
    </xdr:from>
    <xdr:to>
      <xdr:col>6</xdr:col>
      <xdr:colOff>409575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Name">
              <a:extLst>
                <a:ext uri="{FF2B5EF4-FFF2-40B4-BE49-F238E27FC236}">
                  <a16:creationId xmlns:a16="http://schemas.microsoft.com/office/drawing/2014/main" id="{C804AF32-EE6E-B8E5-9768-5D44436C9B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7150" y="1666875"/>
              <a:ext cx="182880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495300</xdr:colOff>
      <xdr:row>5</xdr:row>
      <xdr:rowOff>76200</xdr:rowOff>
    </xdr:from>
    <xdr:to>
      <xdr:col>8</xdr:col>
      <xdr:colOff>923925</xdr:colOff>
      <xdr:row>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 2">
              <a:extLst>
                <a:ext uri="{FF2B5EF4-FFF2-40B4-BE49-F238E27FC236}">
                  <a16:creationId xmlns:a16="http://schemas.microsoft.com/office/drawing/2014/main" id="{12A3DE08-C5CC-1B62-5BC0-72F4D49B0B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1076325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495300</xdr:colOff>
      <xdr:row>11</xdr:row>
      <xdr:rowOff>28575</xdr:rowOff>
    </xdr:from>
    <xdr:to>
      <xdr:col>8</xdr:col>
      <xdr:colOff>923925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Category">
              <a:extLst>
                <a:ext uri="{FF2B5EF4-FFF2-40B4-BE49-F238E27FC236}">
                  <a16:creationId xmlns:a16="http://schemas.microsoft.com/office/drawing/2014/main" id="{38A5E58F-9018-27FF-543F-646379D221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2552700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114299</xdr:colOff>
      <xdr:row>17</xdr:row>
      <xdr:rowOff>38100</xdr:rowOff>
    </xdr:from>
    <xdr:to>
      <xdr:col>4</xdr:col>
      <xdr:colOff>1428749</xdr:colOff>
      <xdr:row>29</xdr:row>
      <xdr:rowOff>176211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741E4D3-FD9A-3707-861A-0CBD60ED6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16</xdr:row>
      <xdr:rowOff>90486</xdr:rowOff>
    </xdr:from>
    <xdr:to>
      <xdr:col>11</xdr:col>
      <xdr:colOff>228600</xdr:colOff>
      <xdr:row>31</xdr:row>
      <xdr:rowOff>38099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63DFBA1-7BB1-802A-39DF-EB6B07743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ита Ермоленко" refreshedDate="46064.867211226854" createdVersion="8" refreshedVersion="8" minRefreshableVersion="3" recordCount="20" xr:uid="{D1434635-E284-4BA1-AC50-2EC2DB6177E6}">
  <cacheSource type="worksheet">
    <worksheetSource name="Таблица1"/>
  </cacheSource>
  <cacheFields count="23">
    <cacheField name="OrderID" numFmtId="0">
      <sharedItems containsSemiMixedTypes="0" containsString="0" containsNumber="1" containsInteger="1" minValue="1" maxValue="20"/>
    </cacheField>
    <cacheField name="OrderDate" numFmtId="14">
      <sharedItems containsSemiMixedTypes="0" containsNonDate="0" containsDate="1" containsString="0" minDate="2024-01-01T00:00:00" maxDate="2024-02-11T00:00:00" count="20">
        <d v="2024-01-01T00:00:00"/>
        <d v="2024-01-02T00:00:00"/>
        <d v="2024-01-03T00:00:00"/>
        <d v="2024-01-05T00:00:00"/>
        <d v="2024-01-07T00:00:00"/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7T00:00:00"/>
        <d v="2024-01-29T00:00:00"/>
        <d v="2024-01-31T00:00:00"/>
        <d v="2024-02-02T00:00:00"/>
        <d v="2024-02-04T00:00:00"/>
        <d v="2024-02-06T00:00:00"/>
        <d v="2024-02-08T00:00:00"/>
        <d v="2024-02-10T00:00:00"/>
      </sharedItems>
      <fieldGroup par="22"/>
    </cacheField>
    <cacheField name="Region" numFmtId="0">
      <sharedItems count="3">
        <s v="Центр"/>
        <s v="Север"/>
        <s v="Юг"/>
      </sharedItems>
    </cacheField>
    <cacheField name="City" numFmtId="0">
      <sharedItems count="6">
        <s v="Минск"/>
        <s v="Витебск"/>
        <s v="Гомель"/>
        <s v="Гродно"/>
        <s v="Могилёв"/>
        <s v="Брест"/>
      </sharedItems>
    </cacheField>
    <cacheField name="CustomerName" numFmtId="0">
      <sharedItems count="5">
        <s v="Иванов"/>
        <s v="Петрова"/>
        <s v="Сидоров"/>
        <s v="Козлова"/>
        <s v="Смирнова"/>
      </sharedItems>
    </cacheField>
    <cacheField name="Segment" numFmtId="0">
      <sharedItems count="3">
        <s v="Потребитель"/>
        <s v="Корпоратив"/>
        <s v="Домашний офис"/>
      </sharedItems>
    </cacheField>
    <cacheField name="Category" numFmtId="0">
      <sharedItems count="3">
        <s v="Техника"/>
        <s v="Мебель"/>
        <s v="Офисные товары"/>
      </sharedItems>
    </cacheField>
    <cacheField name="SubCategory" numFmtId="0">
      <sharedItems count="12">
        <s v="Телефоны"/>
        <s v="Стулья"/>
        <s v="Бумага"/>
        <s v="Ноутбуки"/>
        <s v="Столы"/>
        <s v="Ручки"/>
        <s v="Мониторы"/>
        <s v="Полки"/>
        <s v="Папки"/>
        <s v="Принтеры"/>
        <s v="Калькуляторы"/>
        <s v="Наушники"/>
      </sharedItems>
    </cacheField>
    <cacheField name="ProductName" numFmtId="0">
      <sharedItems count="19">
        <s v="Samsung Galaxy A54"/>
        <s v="Офисное кресло Ergo"/>
        <s v="Бумага А4 500 л."/>
        <s v="Lenovo IdeaPad 5"/>
        <s v="Письменный стол дуб"/>
        <s v="Ручка шариковая 10 шт"/>
        <s v="LG 27&quot; 4K"/>
        <s v="Настенная полка 3 яруса"/>
        <s v="Скоросшиватель 10 шт"/>
        <s v="HP LaserJet Pro"/>
        <s v="Кресло руководителя"/>
        <s v="Калькулятор настольный"/>
        <s v="Sony WH-1000XM5"/>
        <s v="Конференц-стол 240 см"/>
        <s v="ASUS VivoBook 15"/>
        <s v="Стеллаж металлический"/>
        <s v="Ручка гелевая 12 шт"/>
        <s v="Dell 24&quot; IPS"/>
        <s v="Стул конференц"/>
      </sharedItems>
    </cacheField>
    <cacheField name="Quantity" numFmtId="0">
      <sharedItems containsSemiMixedTypes="0" containsString="0" containsNumber="1" containsInteger="1" minValue="1" maxValue="10" count="8">
        <n v="2"/>
        <n v="1"/>
        <n v="5"/>
        <n v="3"/>
        <n v="4"/>
        <n v="10"/>
        <n v="8"/>
        <n v="6"/>
      </sharedItems>
    </cacheField>
    <cacheField name="UnitPrice" numFmtId="164">
      <sharedItems containsSemiMixedTypes="0" containsString="0" containsNumber="1" minValue="4.5" maxValue="980"/>
    </cacheField>
    <cacheField name="Discount" numFmtId="9">
      <sharedItems containsSemiMixedTypes="0" containsString="0" containsNumber="1" minValue="0" maxValue="0.2"/>
    </cacheField>
    <cacheField name="Sales" numFmtId="164">
      <sharedItems containsSemiMixedTypes="0" containsString="0" containsNumber="1" minValue="30.6" maxValue="1324.8" count="19">
        <n v="1235"/>
        <n v="320"/>
        <n v="81"/>
        <n v="901.6"/>
        <n v="450"/>
        <n v="30.6"/>
        <n v="798"/>
        <n v="340"/>
        <n v="36"/>
        <n v="342"/>
        <n v="580"/>
        <n v="66.5"/>
        <n v="369.6"/>
        <n v="720"/>
        <n v="129.6"/>
        <n v="1324.8"/>
        <n v="420"/>
        <n v="51"/>
        <n v="513"/>
      </sharedItems>
    </cacheField>
    <cacheField name="Profit" numFmtId="164">
      <sharedItems containsSemiMixedTypes="0" containsString="0" containsNumber="1" minValue="4.5999999999999996" maxValue="265"/>
    </cacheField>
    <cacheField name=" Сумма Profit" numFmtId="164">
      <sharedItems containsString="0" containsBlank="1" containsNumber="1" minValue="1994.3" maxValue="1994.3"/>
    </cacheField>
    <cacheField name="Сумма продаж только по Минску и Технике" numFmtId="164">
      <sharedItems containsString="0" containsBlank="1" containsNumber="1" containsInteger="1" minValue="1235" maxValue="1235"/>
    </cacheField>
    <cacheField name="Количество заказов с Profit &gt; 100 и Discount = 0 " numFmtId="0">
      <sharedItems containsString="0" containsBlank="1" containsNumber="1" containsInteger="1" minValue="5" maxValue="5"/>
    </cacheField>
    <cacheField name="Средняя прибыль по крупным заказам" numFmtId="164">
      <sharedItems containsString="0" containsBlank="1" containsNumber="1" minValue="167.125" maxValue="167.125"/>
    </cacheField>
    <cacheField name="Сумма продаж Мебели" numFmtId="164">
      <sharedItems containsBlank="1" containsMixedTypes="1" containsNumber="1" containsInteger="1" minValue="3343" maxValue="3343"/>
    </cacheField>
    <cacheField name="Сумма продаж техники" numFmtId="164">
      <sharedItems containsString="0" containsBlank="1" containsNumber="1" containsInteger="1" minValue="5769" maxValue="5769"/>
    </cacheField>
    <cacheField name="Сумма продаж Офисных товаров" numFmtId="164">
      <sharedItems containsString="0" containsBlank="1" containsNumber="1" minValue="394.7" maxValue="394.7"/>
    </cacheField>
    <cacheField name="Количество заказов со скидкой больше 5% и выручкой больше 500 Br" numFmtId="0">
      <sharedItems containsString="0" containsBlank="1" containsNumber="1" containsInteger="1" minValue="3" maxValue="3"/>
    </cacheField>
    <cacheField name="Месяцы (OrderDate)" numFmtId="0" databaseField="0">
      <fieldGroup base="1">
        <rangePr groupBy="months" startDate="2024-01-01T00:00:00" endDate="2024-02-11T00:00:00"/>
        <groupItems count="14">
          <s v="&lt;01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2.2024"/>
        </groupItems>
      </fieldGroup>
    </cacheField>
  </cacheFields>
  <extLst>
    <ext xmlns:x14="http://schemas.microsoft.com/office/spreadsheetml/2009/9/main" uri="{725AE2AE-9491-48be-B2B4-4EB974FC3084}">
      <x14:pivotCacheDefinition pivotCacheId="17584457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Ермоленко" refreshedDate="46065.75306354167" backgroundQuery="1" createdVersion="8" refreshedVersion="8" minRefreshableVersion="3" recordCount="0" supportSubquery="1" supportAdvancedDrill="1" xr:uid="{C30C6F12-31CF-4B21-97C8-286A25CD8A59}">
  <cacheSource type="external" connectionId="1"/>
  <cacheFields count="4">
    <cacheField name="[Таблица1].[ProductName].[ProductName]" caption="ProductName" numFmtId="0" hierarchy="8" level="1">
      <sharedItems count="5">
        <s v="ASUS VivoBook 15"/>
        <s v="Dell 24&quot; IPS"/>
        <s v="Lenovo IdeaPad 5"/>
        <s v="LG 27&quot; 4K"/>
        <s v="Samsung Galaxy A54"/>
      </sharedItems>
    </cacheField>
    <cacheField name="[Measures].[Сумма по столбцу Sales]" caption="Сумма по столбцу Sales" numFmtId="0" hierarchy="25" level="32767"/>
    <cacheField name="[Таблица1].[Category].[Category]" caption="Category" numFmtId="0" hierarchy="6" level="1">
      <sharedItems containsSemiMixedTypes="0" containsNonDate="0" containsString="0"/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Таблица1].[OrderID]" caption="OrderID" attribute="1" defaultMemberUniqueName="[Таблица1].[OrderID].[All]" allUniqueName="[Таблица1].[OrderID].[All]" dimensionUniqueName="[Таблица1]" displayFolder="" count="0" memberValueDatatype="20" unbalanced="0"/>
    <cacheHierarchy uniqueName="[Таблица1].[OrderDate]" caption="OrderDate" attribute="1" time="1" defaultMemberUniqueName="[Таблица1].[OrderDate].[All]" allUniqueName="[Таблица1].[OrderDate].[All]" dimensionUniqueName="[Таблица1]" displayFolder="" count="0" memberValueDatatype="7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CustomerName]" caption="CustomerName" attribute="1" defaultMemberUniqueName="[Таблица1].[CustomerName].[All]" allUniqueName="[Таблица1].[Customer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SubCategory]" caption="SubCategory" attribute="1" defaultMemberUniqueName="[Таблица1].[SubCategory].[All]" allUniqueName="[Таблица1].[SubCategory].[All]" dimensionUniqueName="[Таблица1]" displayFolder="" count="0" memberValueDatatype="130" unbalanced="0"/>
    <cacheHierarchy uniqueName="[Таблица1].[ProductName]" caption="ProductName" attribute="1" defaultMemberUniqueName="[Таблица1].[ProductName].[All]" allUniqueName="[Таблица1].[ProductName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UnitPrice]" caption="UnitPrice" attribute="1" defaultMemberUniqueName="[Таблица1].[UnitPrice].[All]" allUniqueName="[Таблица1].[UnitPrice].[All]" dimensionUniqueName="[Таблица1]" displayFolder="" count="0" memberValueDatatype="5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Сумма Profit]" caption="Сумма Profit" attribute="1" defaultMemberUniqueName="[Таблица1].[Сумма Profit].[All]" allUniqueName="[Таблица1].[Сумма Profit].[All]" dimensionUniqueName="[Таблица1]" displayFolder="" count="0" memberValueDatatype="5" unbalanced="0"/>
    <cacheHierarchy uniqueName="[Таблица1].[Сумма продаж только по Минску и Технике]" caption="Сумма продаж только по Минску и Технике" attribute="1" defaultMemberUniqueName="[Таблица1].[Сумма продаж только по Минску и Технике].[All]" allUniqueName="[Таблица1].[Сумма продаж только по Минску и Технике].[All]" dimensionUniqueName="[Таблица1]" displayFolder="" count="0" memberValueDatatype="20" unbalanced="0"/>
    <cacheHierarchy uniqueName="[Таблица1].[Количество заказов с Profit &gt; 100 и Discount = 0]" caption="Количество заказов с Profit &gt; 100 и Discount = 0" attribute="1" defaultMemberUniqueName="[Таблица1].[Количество заказов с Profit &gt; 100 и Discount = 0].[All]" allUniqueName="[Таблица1].[Количество заказов с Profit &gt; 100 и Discount = 0].[All]" dimensionUniqueName="[Таблица1]" displayFolder="" count="0" memberValueDatatype="20" unbalanced="0"/>
    <cacheHierarchy uniqueName="[Таблица1].[Средняя прибыль по крупным заказам]" caption="Средняя прибыль по крупным заказам" attribute="1" defaultMemberUniqueName="[Таблица1].[Средняя прибыль по крупным заказам].[All]" allUniqueName="[Таблица1].[Средняя прибыль по крупным заказам].[All]" dimensionUniqueName="[Таблица1]" displayFolder="" count="0" memberValueDatatype="5" unbalanced="0"/>
    <cacheHierarchy uniqueName="[Таблица1].[Сумма продаж Мебели]" caption="Сумма продаж Мебели" attribute="1" defaultMemberUniqueName="[Таблица1].[Сумма продаж Мебели].[All]" allUniqueName="[Таблица1].[Сумма продаж Мебели].[All]" dimensionUniqueName="[Таблица1]" displayFolder="" count="0" memberValueDatatype="20" unbalanced="0"/>
    <cacheHierarchy uniqueName="[Таблица1].[Сумма продаж техники]" caption="Сумма продаж техники" attribute="1" defaultMemberUniqueName="[Таблица1].[Сумма продаж техники].[All]" allUniqueName="[Таблица1].[Сумма продаж техники].[All]" dimensionUniqueName="[Таблица1]" displayFolder="" count="0" memberValueDatatype="20" unbalanced="0"/>
    <cacheHierarchy uniqueName="[Таблица1].[Сумма продаж Офисных товаров]" caption="Сумма продаж Офисных товаров" attribute="1" defaultMemberUniqueName="[Таблица1].[Сумма продаж Офисных товаров].[All]" allUniqueName="[Таблица1].[Сумма продаж Офисных товаров].[All]" dimensionUniqueName="[Таблица1]" displayFolder="" count="0" memberValueDatatype="5" unbalanced="0"/>
    <cacheHierarchy uniqueName="[Таблица1].[Количество заказов со скидкой больше 5% и выручкой больше 500 Br]" caption="Количество заказов со скидкой больше 5% и выручкой больше 500 Br" attribute="1" defaultMemberUniqueName="[Таблица1].[Количество заказов со скидкой больше 5% и выручкой больше 500 Br].[All]" allUniqueName="[Таблица1].[Количество заказов со скидкой больше 5% и выручкой больше 500 Br].[All]" dimensionUniqueName="[Таблица1]" displayFolder="" count="0" memberValueDatatype="20" unbalanced="0"/>
    <cacheHierarchy uniqueName="[Таблица1].[Выручка без скидки]" caption="Выручка без скидки" attribute="1" defaultMemberUniqueName="[Таблица1].[Выручка без скидки].[All]" allUniqueName="[Таблица1].[Выручка без скидки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Profit]" caption="Сумма по столбцу Profit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Ермоленко" refreshedDate="46065.753063888886" backgroundQuery="1" createdVersion="8" refreshedVersion="8" minRefreshableVersion="3" recordCount="0" supportSubquery="1" supportAdvancedDrill="1" xr:uid="{480D1251-19E3-4A67-ABB3-6C2F627B1D0E}">
  <cacheSource type="external" connectionId="1"/>
  <cacheFields count="4">
    <cacheField name="[Таблица1].[ProductName].[ProductName]" caption="ProductName" numFmtId="0" hierarchy="8" level="1">
      <sharedItems count="15">
        <s v="Конференц-стол 240 см"/>
        <s v="Кресло руководителя"/>
        <s v="Настенная полка 3 яруса"/>
        <s v="Письменный стол дуб"/>
        <s v="Стеллаж металлический"/>
        <s v="Бумага А4 500 л."/>
        <s v="Калькулятор настольный"/>
        <s v="Ручка гелевая 12 шт"/>
        <s v="Ручка шариковая 10 шт"/>
        <s v="Скоросшиватель 10 шт"/>
        <s v="ASUS VivoBook 15"/>
        <s v="Dell 24&quot; IPS"/>
        <s v="Lenovo IdeaPad 5"/>
        <s v="LG 27&quot; 4K"/>
        <s v="Samsung Galaxy A54"/>
      </sharedItems>
    </cacheField>
    <cacheField name="[Measures].[Сумма по столбцу Profit]" caption="Сумма по столбцу Profit" numFmtId="0" hierarchy="26" level="32767"/>
    <cacheField name="[Таблица1].[Category].[Category]" caption="Category" numFmtId="0" hierarchy="6" level="1">
      <sharedItems count="3">
        <s v="Мебель"/>
        <s v="Офисные товары"/>
        <s v="Техника"/>
      </sharedItems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Таблица1].[OrderID]" caption="OrderID" attribute="1" defaultMemberUniqueName="[Таблица1].[OrderID].[All]" allUniqueName="[Таблица1].[OrderID].[All]" dimensionUniqueName="[Таблица1]" displayFolder="" count="0" memberValueDatatype="20" unbalanced="0"/>
    <cacheHierarchy uniqueName="[Таблица1].[OrderDate]" caption="OrderDate" attribute="1" time="1" defaultMemberUniqueName="[Таблица1].[OrderDate].[All]" allUniqueName="[Таблица1].[OrderDate].[All]" dimensionUniqueName="[Таблица1]" displayFolder="" count="0" memberValueDatatype="7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CustomerName]" caption="CustomerName" attribute="1" defaultMemberUniqueName="[Таблица1].[CustomerName].[All]" allUniqueName="[Таблица1].[Customer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SubCategory]" caption="SubCategory" attribute="1" defaultMemberUniqueName="[Таблица1].[SubCategory].[All]" allUniqueName="[Таблица1].[SubCategory].[All]" dimensionUniqueName="[Таблица1]" displayFolder="" count="0" memberValueDatatype="130" unbalanced="0"/>
    <cacheHierarchy uniqueName="[Таблица1].[ProductName]" caption="ProductName" attribute="1" defaultMemberUniqueName="[Таблица1].[ProductName].[All]" allUniqueName="[Таблица1].[ProductName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UnitPrice]" caption="UnitPrice" attribute="1" defaultMemberUniqueName="[Таблица1].[UnitPrice].[All]" allUniqueName="[Таблица1].[UnitPrice].[All]" dimensionUniqueName="[Таблица1]" displayFolder="" count="0" memberValueDatatype="5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Сумма Profit]" caption="Сумма Profit" attribute="1" defaultMemberUniqueName="[Таблица1].[Сумма Profit].[All]" allUniqueName="[Таблица1].[Сумма Profit].[All]" dimensionUniqueName="[Таблица1]" displayFolder="" count="0" memberValueDatatype="5" unbalanced="0"/>
    <cacheHierarchy uniqueName="[Таблица1].[Сумма продаж только по Минску и Технике]" caption="Сумма продаж только по Минску и Технике" attribute="1" defaultMemberUniqueName="[Таблица1].[Сумма продаж только по Минску и Технике].[All]" allUniqueName="[Таблица1].[Сумма продаж только по Минску и Технике].[All]" dimensionUniqueName="[Таблица1]" displayFolder="" count="0" memberValueDatatype="20" unbalanced="0"/>
    <cacheHierarchy uniqueName="[Таблица1].[Количество заказов с Profit &gt; 100 и Discount = 0]" caption="Количество заказов с Profit &gt; 100 и Discount = 0" attribute="1" defaultMemberUniqueName="[Таблица1].[Количество заказов с Profit &gt; 100 и Discount = 0].[All]" allUniqueName="[Таблица1].[Количество заказов с Profit &gt; 100 и Discount = 0].[All]" dimensionUniqueName="[Таблица1]" displayFolder="" count="0" memberValueDatatype="20" unbalanced="0"/>
    <cacheHierarchy uniqueName="[Таблица1].[Средняя прибыль по крупным заказам]" caption="Средняя прибыль по крупным заказам" attribute="1" defaultMemberUniqueName="[Таблица1].[Средняя прибыль по крупным заказам].[All]" allUniqueName="[Таблица1].[Средняя прибыль по крупным заказам].[All]" dimensionUniqueName="[Таблица1]" displayFolder="" count="0" memberValueDatatype="5" unbalanced="0"/>
    <cacheHierarchy uniqueName="[Таблица1].[Сумма продаж Мебели]" caption="Сумма продаж Мебели" attribute="1" defaultMemberUniqueName="[Таблица1].[Сумма продаж Мебели].[All]" allUniqueName="[Таблица1].[Сумма продаж Мебели].[All]" dimensionUniqueName="[Таблица1]" displayFolder="" count="0" memberValueDatatype="20" unbalanced="0"/>
    <cacheHierarchy uniqueName="[Таблица1].[Сумма продаж техники]" caption="Сумма продаж техники" attribute="1" defaultMemberUniqueName="[Таблица1].[Сумма продаж техники].[All]" allUniqueName="[Таблица1].[Сумма продаж техники].[All]" dimensionUniqueName="[Таблица1]" displayFolder="" count="0" memberValueDatatype="20" unbalanced="0"/>
    <cacheHierarchy uniqueName="[Таблица1].[Сумма продаж Офисных товаров]" caption="Сумма продаж Офисных товаров" attribute="1" defaultMemberUniqueName="[Таблица1].[Сумма продаж Офисных товаров].[All]" allUniqueName="[Таблица1].[Сумма продаж Офисных товаров].[All]" dimensionUniqueName="[Таблица1]" displayFolder="" count="0" memberValueDatatype="5" unbalanced="0"/>
    <cacheHierarchy uniqueName="[Таблица1].[Количество заказов со скидкой больше 5% и выручкой больше 500 Br]" caption="Количество заказов со скидкой больше 5% и выручкой больше 500 Br" attribute="1" defaultMemberUniqueName="[Таблица1].[Количество заказов со скидкой больше 5% и выручкой больше 500 Br].[All]" allUniqueName="[Таблица1].[Количество заказов со скидкой больше 5% и выручкой больше 500 Br].[All]" dimensionUniqueName="[Таблица1]" displayFolder="" count="0" memberValueDatatype="20" unbalanced="0"/>
    <cacheHierarchy uniqueName="[Таблица1].[Выручка без скидки]" caption="Выручка без скидки" attribute="1" defaultMemberUniqueName="[Таблица1].[Выручка без скидки].[All]" allUniqueName="[Таблица1].[Выручка без скидки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Ермоленко" refreshedDate="46065.750926620371" backgroundQuery="1" createdVersion="3" refreshedVersion="8" minRefreshableVersion="3" recordCount="0" supportSubquery="1" supportAdvancedDrill="1" xr:uid="{3FF22F94-7644-4D76-ACBC-33D4991E03C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Таблица1].[OrderID]" caption="OrderID" attribute="1" defaultMemberUniqueName="[Таблица1].[OrderID].[All]" allUniqueName="[Таблица1].[OrderID].[All]" dimensionUniqueName="[Таблица1]" displayFolder="" count="0" memberValueDatatype="20" unbalanced="0"/>
    <cacheHierarchy uniqueName="[Таблица1].[OrderDate]" caption="OrderDate" attribute="1" time="1" defaultMemberUniqueName="[Таблица1].[OrderDate].[All]" allUniqueName="[Таблица1].[OrderDate].[All]" dimensionUniqueName="[Таблица1]" displayFolder="" count="0" memberValueDatatype="7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CustomerName]" caption="CustomerName" attribute="1" defaultMemberUniqueName="[Таблица1].[CustomerName].[All]" allUniqueName="[Таблица1].[Customer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Category]" caption="SubCategory" attribute="1" defaultMemberUniqueName="[Таблица1].[SubCategory].[All]" allUniqueName="[Таблица1].[SubCategory].[All]" dimensionUniqueName="[Таблица1]" displayFolder="" count="0" memberValueDatatype="130" unbalanced="0"/>
    <cacheHierarchy uniqueName="[Таблица1].[ProductName]" caption="ProductName" attribute="1" defaultMemberUniqueName="[Таблица1].[ProductName].[All]" allUniqueName="[Таблица1].[ProductName].[All]" dimensionUniqueName="[Таблица1]" displayFolder="" count="0" memberValueDatatype="130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UnitPrice]" caption="UnitPrice" attribute="1" defaultMemberUniqueName="[Таблица1].[UnitPrice].[All]" allUniqueName="[Таблица1].[UnitPrice].[All]" dimensionUniqueName="[Таблица1]" displayFolder="" count="0" memberValueDatatype="5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Сумма Profit]" caption="Сумма Profit" attribute="1" defaultMemberUniqueName="[Таблица1].[Сумма Profit].[All]" allUniqueName="[Таблица1].[Сумма Profit].[All]" dimensionUniqueName="[Таблица1]" displayFolder="" count="0" memberValueDatatype="5" unbalanced="0"/>
    <cacheHierarchy uniqueName="[Таблица1].[Сумма продаж только по Минску и Технике]" caption="Сумма продаж только по Минску и Технике" attribute="1" defaultMemberUniqueName="[Таблица1].[Сумма продаж только по Минску и Технике].[All]" allUniqueName="[Таблица1].[Сумма продаж только по Минску и Технике].[All]" dimensionUniqueName="[Таблица1]" displayFolder="" count="0" memberValueDatatype="20" unbalanced="0"/>
    <cacheHierarchy uniqueName="[Таблица1].[Количество заказов с Profit &gt; 100 и Discount = 0]" caption="Количество заказов с Profit &gt; 100 и Discount = 0" attribute="1" defaultMemberUniqueName="[Таблица1].[Количество заказов с Profit &gt; 100 и Discount = 0].[All]" allUniqueName="[Таблица1].[Количество заказов с Profit &gt; 100 и Discount = 0].[All]" dimensionUniqueName="[Таблица1]" displayFolder="" count="0" memberValueDatatype="20" unbalanced="0"/>
    <cacheHierarchy uniqueName="[Таблица1].[Средняя прибыль по крупным заказам]" caption="Средняя прибыль по крупным заказам" attribute="1" defaultMemberUniqueName="[Таблица1].[Средняя прибыль по крупным заказам].[All]" allUniqueName="[Таблица1].[Средняя прибыль по крупным заказам].[All]" dimensionUniqueName="[Таблица1]" displayFolder="" count="0" memberValueDatatype="5" unbalanced="0"/>
    <cacheHierarchy uniqueName="[Таблица1].[Сумма продаж Мебели]" caption="Сумма продаж Мебели" attribute="1" defaultMemberUniqueName="[Таблица1].[Сумма продаж Мебели].[All]" allUniqueName="[Таблица1].[Сумма продаж Мебели].[All]" dimensionUniqueName="[Таблица1]" displayFolder="" count="0" memberValueDatatype="20" unbalanced="0"/>
    <cacheHierarchy uniqueName="[Таблица1].[Сумма продаж техники]" caption="Сумма продаж техники" attribute="1" defaultMemberUniqueName="[Таблица1].[Сумма продаж техники].[All]" allUniqueName="[Таблица1].[Сумма продаж техники].[All]" dimensionUniqueName="[Таблица1]" displayFolder="" count="0" memberValueDatatype="20" unbalanced="0"/>
    <cacheHierarchy uniqueName="[Таблица1].[Сумма продаж Офисных товаров]" caption="Сумма продаж Офисных товаров" attribute="1" defaultMemberUniqueName="[Таблица1].[Сумма продаж Офисных товаров].[All]" allUniqueName="[Таблица1].[Сумма продаж Офисных товаров].[All]" dimensionUniqueName="[Таблица1]" displayFolder="" count="0" memberValueDatatype="5" unbalanced="0"/>
    <cacheHierarchy uniqueName="[Таблица1].[Количество заказов со скидкой больше 5% и выручкой больше 500 Br]" caption="Количество заказов со скидкой больше 5% и выручкой больше 500 Br" attribute="1" defaultMemberUniqueName="[Таблица1].[Количество заказов со скидкой больше 5% и выручкой больше 500 Br].[All]" allUniqueName="[Таблица1].[Количество заказов со скидкой больше 5% и выручкой больше 500 Br].[All]" dimensionUniqueName="[Таблица1]" displayFolder="" count="0" memberValueDatatype="20" unbalanced="0"/>
    <cacheHierarchy uniqueName="[Таблица1].[Выручка без скидки]" caption="Выручка без скидки" attribute="1" defaultMemberUniqueName="[Таблица1].[Выручка без скидки].[All]" allUniqueName="[Таблица1].[Выручка без скидки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Profit]" caption="Сумма по столбцу Profit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11653036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x v="0"/>
    <x v="0"/>
    <x v="0"/>
    <x v="0"/>
    <x v="0"/>
    <x v="0"/>
    <x v="0"/>
    <n v="650"/>
    <n v="0.05"/>
    <x v="0"/>
    <n v="185"/>
    <n v="1994.3"/>
    <n v="1235"/>
    <n v="5"/>
    <n v="167.125"/>
    <n v="3343"/>
    <n v="5769"/>
    <n v="394.7"/>
    <n v="3"/>
  </r>
  <r>
    <n v="2"/>
    <x v="1"/>
    <x v="0"/>
    <x v="0"/>
    <x v="1"/>
    <x v="1"/>
    <x v="1"/>
    <x v="1"/>
    <x v="1"/>
    <x v="1"/>
    <n v="320"/>
    <n v="0"/>
    <x v="1"/>
    <n v="96"/>
    <m/>
    <m/>
    <m/>
    <m/>
    <m/>
    <m/>
    <m/>
    <m/>
  </r>
  <r>
    <n v="3"/>
    <x v="2"/>
    <x v="1"/>
    <x v="1"/>
    <x v="2"/>
    <x v="0"/>
    <x v="2"/>
    <x v="2"/>
    <x v="2"/>
    <x v="2"/>
    <n v="18"/>
    <n v="0.1"/>
    <x v="2"/>
    <n v="11"/>
    <m/>
    <m/>
    <m/>
    <m/>
    <m/>
    <m/>
    <m/>
    <m/>
  </r>
  <r>
    <n v="4"/>
    <x v="3"/>
    <x v="2"/>
    <x v="2"/>
    <x v="3"/>
    <x v="2"/>
    <x v="0"/>
    <x v="3"/>
    <x v="3"/>
    <x v="1"/>
    <n v="980"/>
    <n v="0.08"/>
    <x v="3"/>
    <n v="180"/>
    <m/>
    <m/>
    <m/>
    <m/>
    <m/>
    <m/>
    <m/>
    <m/>
  </r>
  <r>
    <n v="5"/>
    <x v="4"/>
    <x v="0"/>
    <x v="3"/>
    <x v="0"/>
    <x v="0"/>
    <x v="1"/>
    <x v="4"/>
    <x v="4"/>
    <x v="1"/>
    <n v="450"/>
    <n v="0"/>
    <x v="4"/>
    <n v="135"/>
    <m/>
    <m/>
    <m/>
    <m/>
    <m/>
    <m/>
    <m/>
    <m/>
  </r>
  <r>
    <n v="6"/>
    <x v="5"/>
    <x v="1"/>
    <x v="4"/>
    <x v="4"/>
    <x v="1"/>
    <x v="2"/>
    <x v="5"/>
    <x v="5"/>
    <x v="3"/>
    <n v="12"/>
    <n v="0.15"/>
    <x v="5"/>
    <n v="4.5999999999999996"/>
    <m/>
    <m/>
    <m/>
    <m/>
    <m/>
    <m/>
    <m/>
    <m/>
  </r>
  <r>
    <n v="7"/>
    <x v="6"/>
    <x v="2"/>
    <x v="5"/>
    <x v="1"/>
    <x v="0"/>
    <x v="0"/>
    <x v="6"/>
    <x v="6"/>
    <x v="0"/>
    <n v="420"/>
    <n v="0.05"/>
    <x v="6"/>
    <n v="120"/>
    <m/>
    <m/>
    <m/>
    <m/>
    <m/>
    <m/>
    <m/>
    <m/>
  </r>
  <r>
    <n v="8"/>
    <x v="7"/>
    <x v="0"/>
    <x v="0"/>
    <x v="3"/>
    <x v="2"/>
    <x v="1"/>
    <x v="7"/>
    <x v="7"/>
    <x v="4"/>
    <n v="85"/>
    <n v="0"/>
    <x v="7"/>
    <n v="102"/>
    <m/>
    <m/>
    <m/>
    <m/>
    <m/>
    <m/>
    <m/>
    <m/>
  </r>
  <r>
    <n v="9"/>
    <x v="8"/>
    <x v="1"/>
    <x v="1"/>
    <x v="2"/>
    <x v="0"/>
    <x v="2"/>
    <x v="8"/>
    <x v="8"/>
    <x v="5"/>
    <n v="4.5"/>
    <n v="0.2"/>
    <x v="8"/>
    <n v="5"/>
    <m/>
    <m/>
    <m/>
    <m/>
    <m/>
    <m/>
    <m/>
    <m/>
  </r>
  <r>
    <n v="10"/>
    <x v="9"/>
    <x v="2"/>
    <x v="2"/>
    <x v="0"/>
    <x v="1"/>
    <x v="0"/>
    <x v="9"/>
    <x v="9"/>
    <x v="1"/>
    <n v="380"/>
    <n v="0.1"/>
    <x v="9"/>
    <n v="68"/>
    <m/>
    <m/>
    <m/>
    <m/>
    <m/>
    <m/>
    <m/>
    <m/>
  </r>
  <r>
    <n v="11"/>
    <x v="10"/>
    <x v="0"/>
    <x v="0"/>
    <x v="1"/>
    <x v="0"/>
    <x v="1"/>
    <x v="1"/>
    <x v="10"/>
    <x v="1"/>
    <n v="580"/>
    <n v="0"/>
    <x v="10"/>
    <n v="174"/>
    <m/>
    <m/>
    <m/>
    <m/>
    <m/>
    <m/>
    <m/>
    <m/>
  </r>
  <r>
    <n v="12"/>
    <x v="11"/>
    <x v="1"/>
    <x v="4"/>
    <x v="4"/>
    <x v="2"/>
    <x v="2"/>
    <x v="10"/>
    <x v="11"/>
    <x v="0"/>
    <n v="35"/>
    <n v="0.05"/>
    <x v="11"/>
    <n v="10"/>
    <m/>
    <m/>
    <m/>
    <m/>
    <s v="p"/>
    <m/>
    <m/>
    <m/>
  </r>
  <r>
    <n v="13"/>
    <x v="12"/>
    <x v="2"/>
    <x v="5"/>
    <x v="3"/>
    <x v="0"/>
    <x v="0"/>
    <x v="11"/>
    <x v="12"/>
    <x v="1"/>
    <n v="420"/>
    <n v="0.12"/>
    <x v="12"/>
    <n v="74"/>
    <m/>
    <m/>
    <m/>
    <m/>
    <m/>
    <m/>
    <m/>
    <m/>
  </r>
  <r>
    <n v="14"/>
    <x v="13"/>
    <x v="0"/>
    <x v="3"/>
    <x v="2"/>
    <x v="1"/>
    <x v="1"/>
    <x v="4"/>
    <x v="13"/>
    <x v="1"/>
    <n v="720"/>
    <n v="0"/>
    <x v="13"/>
    <n v="216"/>
    <m/>
    <m/>
    <m/>
    <m/>
    <m/>
    <m/>
    <m/>
    <m/>
  </r>
  <r>
    <n v="15"/>
    <x v="14"/>
    <x v="1"/>
    <x v="1"/>
    <x v="0"/>
    <x v="0"/>
    <x v="2"/>
    <x v="2"/>
    <x v="2"/>
    <x v="6"/>
    <n v="18"/>
    <n v="0.1"/>
    <x v="14"/>
    <n v="18"/>
    <m/>
    <m/>
    <m/>
    <m/>
    <m/>
    <m/>
    <m/>
    <m/>
  </r>
  <r>
    <n v="16"/>
    <x v="15"/>
    <x v="2"/>
    <x v="2"/>
    <x v="1"/>
    <x v="2"/>
    <x v="0"/>
    <x v="3"/>
    <x v="14"/>
    <x v="0"/>
    <n v="720"/>
    <n v="0.08"/>
    <x v="15"/>
    <n v="265"/>
    <m/>
    <m/>
    <m/>
    <m/>
    <m/>
    <m/>
    <m/>
    <m/>
  </r>
  <r>
    <n v="17"/>
    <x v="16"/>
    <x v="0"/>
    <x v="0"/>
    <x v="4"/>
    <x v="0"/>
    <x v="1"/>
    <x v="7"/>
    <x v="15"/>
    <x v="3"/>
    <n v="140"/>
    <n v="0"/>
    <x v="16"/>
    <n v="126"/>
    <m/>
    <m/>
    <m/>
    <m/>
    <m/>
    <m/>
    <m/>
    <m/>
  </r>
  <r>
    <n v="18"/>
    <x v="17"/>
    <x v="1"/>
    <x v="4"/>
    <x v="3"/>
    <x v="1"/>
    <x v="2"/>
    <x v="5"/>
    <x v="16"/>
    <x v="4"/>
    <n v="15"/>
    <n v="0.15"/>
    <x v="17"/>
    <n v="7.7"/>
    <m/>
    <m/>
    <m/>
    <m/>
    <m/>
    <m/>
    <m/>
    <m/>
  </r>
  <r>
    <n v="19"/>
    <x v="18"/>
    <x v="2"/>
    <x v="5"/>
    <x v="2"/>
    <x v="0"/>
    <x v="0"/>
    <x v="6"/>
    <x v="17"/>
    <x v="3"/>
    <n v="280"/>
    <n v="0.05"/>
    <x v="6"/>
    <n v="120"/>
    <m/>
    <m/>
    <m/>
    <m/>
    <m/>
    <m/>
    <m/>
    <m/>
  </r>
  <r>
    <n v="20"/>
    <x v="19"/>
    <x v="0"/>
    <x v="0"/>
    <x v="0"/>
    <x v="0"/>
    <x v="1"/>
    <x v="1"/>
    <x v="18"/>
    <x v="7"/>
    <n v="95"/>
    <n v="0.1"/>
    <x v="18"/>
    <n v="7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49ABD-A8FF-49D0-A8BD-6244EBEDADF8}" name="Сводная таблица1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">
  <location ref="D3:E7" firstHeaderRow="1" firstDataRow="1" firstDataCol="1"/>
  <pivotFields count="23">
    <pivotField dataField="1"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" fld="0" subtotal="count" baseField="6" baseItem="0"/>
  </dataFields>
  <formats count="1">
    <format dxfId="37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9CB6-E480-4183-8445-461771FCBAB6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овар">
  <location ref="D14:E34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0">
        <item x="14"/>
        <item x="17"/>
        <item x="9"/>
        <item x="3"/>
        <item x="6"/>
        <item x="0"/>
        <item x="12"/>
        <item x="2"/>
        <item x="11"/>
        <item sd="0" x="13"/>
        <item x="10"/>
        <item x="7"/>
        <item x="1"/>
        <item x="4"/>
        <item x="16"/>
        <item x="5"/>
        <item x="8"/>
        <item x="15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9" showAll="0"/>
    <pivotField dataField="1" numFmtId="164" multipleItemSelectionAllowed="1" showAll="0">
      <items count="20">
        <item h="1" x="5"/>
        <item h="1" x="8"/>
        <item h="1" x="17"/>
        <item h="1" x="11"/>
        <item h="1" x="2"/>
        <item h="1" x="14"/>
        <item h="1" x="1"/>
        <item h="1" x="7"/>
        <item h="1" x="9"/>
        <item h="1" x="12"/>
        <item h="1" x="16"/>
        <item h="1" x="4"/>
        <item h="1" x="18"/>
        <item h="1" x="10"/>
        <item x="13"/>
        <item x="6"/>
        <item x="3"/>
        <item x="0"/>
        <item x="1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20">
    <i>
      <x/>
    </i>
    <i>
      <x v="5"/>
    </i>
    <i>
      <x v="3"/>
    </i>
    <i>
      <x v="1"/>
    </i>
    <i>
      <x v="4"/>
    </i>
    <i>
      <x v="9"/>
    </i>
    <i>
      <x v="10"/>
    </i>
    <i>
      <x v="18"/>
    </i>
    <i>
      <x v="13"/>
    </i>
    <i>
      <x v="17"/>
    </i>
    <i>
      <x v="6"/>
    </i>
    <i>
      <x v="2"/>
    </i>
    <i>
      <x v="11"/>
    </i>
    <i>
      <x v="12"/>
    </i>
    <i>
      <x v="7"/>
    </i>
    <i>
      <x v="8"/>
    </i>
    <i>
      <x v="14"/>
    </i>
    <i>
      <x v="16"/>
    </i>
    <i>
      <x v="15"/>
    </i>
    <i t="grand">
      <x/>
    </i>
  </rowItems>
  <colItems count="1">
    <i/>
  </colItems>
  <dataFields count="1">
    <dataField name="Выручка" fld="12" baseField="8" baseItem="0" numFmtId="164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ADD1E-1613-4CAE-AB88-CC515A5E46AE}" name="Сводная таблица1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">
  <location ref="A9:B22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Выручка по доле в %" fld="12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0EBCE-DA03-4D54-8C32-FB8F51D8664D}" name="Сводная таблица1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Сегмент">
  <location ref="G3:H7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редняя выручка" fld="12" subtotal="average" baseField="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8E24B-B317-4B23-8B97-B42AFD43293B}" name="Сводная таблица13" cacheId="0" applyNumberFormats="0" applyBorderFormats="0" applyFontFormats="0" applyPatternFormats="0" applyAlignmentFormats="0" applyWidthHeightFormats="1" dataCaption="Значения" showError="1" showMissing="0" updatedVersion="8" minRefreshableVersion="3" showDrill="0" useAutoFormatting="1" itemPrintTitles="1" createdVersion="8" indent="0" outline="1" outlineData="1" rowHeaderCaption="Регион">
  <location ref="G9:H2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7">
        <item x="5"/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13">
    <i>
      <x/>
    </i>
    <i r="1">
      <x v="2"/>
    </i>
    <i>
      <x v="1"/>
    </i>
    <i r="1">
      <x/>
    </i>
    <i>
      <x v="2"/>
    </i>
    <i r="1">
      <x v="2"/>
    </i>
    <i>
      <x v="3"/>
    </i>
    <i r="1">
      <x v="1"/>
    </i>
    <i>
      <x v="4"/>
    </i>
    <i r="1">
      <x v="1"/>
    </i>
    <i>
      <x v="5"/>
    </i>
    <i r="1">
      <x/>
    </i>
    <i t="grand">
      <x/>
    </i>
  </rowItems>
  <colItems count="1">
    <i/>
  </colItems>
  <dataFields count="1">
    <dataField name="Выручка по регионам" fld="13" baseField="3" baseItem="0" numFmtId="164"/>
  </dataFields>
  <formats count="1"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FBF56-92E7-42B8-A8BD-4CBF12437C19}" name="Сводная таблица10" cacheId="0" applyNumberFormats="0" applyBorderFormats="0" applyFontFormats="0" applyPatternFormats="0" applyAlignmentFormats="0" applyWidthHeightFormats="1" dataCaption="Значения" showMissing="0" updatedVersion="8" minRefreshableVersion="3" useAutoFormatting="1" itemPrintTitles="1" createdVersion="8" indent="0" compact="0" compactData="0" multipleFieldFilters="0">
  <location ref="A3:B7" firstHeaderRow="1" firstDataRow="1" firstDataCol="1"/>
  <pivotFields count="23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Регион" axis="axisRow" compact="0" outline="0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5"/>
        <item x="1"/>
        <item x="2"/>
        <item x="3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Выручка" fld="12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AF165-7B4E-4C5F-B1B1-344B1FCA6FB9}" name="Сводная таблица1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Месяц">
  <location ref="D9:E1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3">
    <i>
      <x v="1"/>
    </i>
    <i>
      <x v="2"/>
    </i>
    <i t="grand">
      <x/>
    </i>
  </rowItems>
  <colItems count="1">
    <i/>
  </colItems>
  <dataFields count="1">
    <dataField name="Выручка по месяцам" fld="12" baseField="22" baseItem="1" numFmtId="164"/>
  </dataFields>
  <formats count="1">
    <format dxfId="34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CB862-ACB9-49B7-86A7-A2ACA7960CEA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Region">
  <location ref="D2:E6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регионам" fld="2" subtotal="count" baseField="2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43955-267E-4DBC-BD99-3BF87CBB468A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 товара">
  <location ref="A2:B6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5"/>
        <item x="1"/>
        <item x="2"/>
        <item x="3"/>
        <item x="0"/>
        <item x="4"/>
        <item t="default"/>
      </items>
    </pivotField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>
      <items count="20">
        <item x="14"/>
        <item x="17"/>
        <item x="9"/>
        <item x="3"/>
        <item x="6"/>
        <item x="0"/>
        <item x="12"/>
        <item x="2"/>
        <item x="11"/>
        <item x="13"/>
        <item x="10"/>
        <item x="7"/>
        <item x="1"/>
        <item x="4"/>
        <item x="16"/>
        <item x="5"/>
        <item x="8"/>
        <item x="15"/>
        <item x="18"/>
        <item t="default"/>
      </items>
    </pivotField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категории" fld="6" subtotal="count" baseField="6" baseItem="0"/>
  </dataFields>
  <formats count="8">
    <format dxfId="31">
      <pivotArea dataOnly="0" outline="0" axis="axisValues" fieldPosition="0"/>
    </format>
    <format dxfId="28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6" type="button" dataOnly="0" labelOnly="1" outline="0" axis="axisRow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6F0C-75A7-46EC-B1F7-07D95225E42D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City">
  <location ref="C8:D15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dataField="1" showAll="0">
      <items count="7">
        <item x="5"/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заказов" fld="3" subtotal="count" baseField="3" baseItem="0"/>
  </dataFields>
  <formats count="7">
    <format dxfId="26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97B1-FDF8-49D8-BB34-3B1E3A3B6276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аименование товара">
  <location ref="A8:A28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0">
        <item x="14"/>
        <item x="17"/>
        <item x="9"/>
        <item x="3"/>
        <item x="6"/>
        <item x="0"/>
        <item x="12"/>
        <item x="2"/>
        <item x="11"/>
        <item x="13"/>
        <item x="10"/>
        <item x="7"/>
        <item x="1"/>
        <item x="4"/>
        <item x="16"/>
        <item x="5"/>
        <item x="8"/>
        <item x="15"/>
        <item x="18"/>
        <item t="default"/>
      </items>
    </pivotField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formats count="4">
    <format dxfId="17">
      <pivotArea type="all" dataOnly="0" outline="0" fieldPosition="0"/>
    </format>
    <format dxfId="16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27088-09ED-4297-A256-AFEACAB6A01D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chartFormat="53" rowHeaderCaption="Товар">
  <location ref="A3:C9" firstHeaderRow="0" firstDataRow="1" firstDataCol="1"/>
  <pivotFields count="4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 v="3"/>
    </i>
    <i>
      <x v="1"/>
    </i>
    <i>
      <x v="2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" baseField="0" baseItem="0" numFmtId="164"/>
    <dataField name="% от итога" fld="3" showDataAs="percentOfCol" baseField="0" baseItem="0" numFmtId="10">
      <extLst>
        <ext xmlns:x14="http://schemas.microsoft.com/office/spreadsheetml/2009/9/main" uri="{E15A36E0-9728-4e99-A89B-3F7291B0FE68}">
          <x14:dataField sourceField="1" uniqueName="[__Xl2].[Measures].[Сумма по столбцу Sales]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% от итога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1" iMeasureHier="25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Тренировочная таблица №2 (Неделя 2)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D9D14-C13B-4E1A-A5A3-5E5174B95EED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ород">
  <location ref="E3:G10" firstHeaderRow="0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 sortType="descending">
      <items count="7">
        <item x="5"/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 v="4"/>
    </i>
    <i>
      <x v="2"/>
    </i>
    <i>
      <x/>
    </i>
    <i>
      <x v="3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2" baseField="3" baseItem="0" numFmtId="164"/>
    <dataField name="% от итога" fld="12" showDataAs="percentOfTotal" baseField="3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82583-FA56-439F-A0AB-D4F899D9D60A}" name="Сводная таблица5" cacheId="2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rowHeaderCaption="Товар">
  <location ref="C4:E23" firstHeaderRow="0" firstDataRow="1" firstDataCol="1"/>
  <pivotFields count="4">
    <pivotField axis="axisRow"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0"/>
  </rowFields>
  <rowItems count="19">
    <i>
      <x/>
    </i>
    <i r="1">
      <x/>
    </i>
    <i r="1">
      <x v="1"/>
    </i>
    <i r="1">
      <x v="3"/>
    </i>
    <i r="1">
      <x v="4"/>
    </i>
    <i r="1">
      <x v="2"/>
    </i>
    <i>
      <x v="1"/>
    </i>
    <i r="1">
      <x v="5"/>
    </i>
    <i r="1">
      <x v="6"/>
    </i>
    <i r="1">
      <x v="7"/>
    </i>
    <i r="1">
      <x v="9"/>
    </i>
    <i r="1">
      <x v="8"/>
    </i>
    <i>
      <x v="2"/>
    </i>
    <i r="1">
      <x v="10"/>
    </i>
    <i r="1">
      <x v="14"/>
    </i>
    <i r="1">
      <x v="12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Прибыль" fld="1" baseField="0" baseItem="0" numFmtId="164"/>
    <dataField name="Сумма по столбцу Profit" fld="3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Сумма по столбцу Profit]"/>
        </ext>
      </extLst>
    </dataField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% от итога"/>
    <pivotHierarchy dragToData="1" caption="Прибыль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2" iMeasureHier="26">
      <autoFilter ref="A1">
        <filterColumn colId="0">
          <top10 val="5" filterVal="5"/>
        </filterColumn>
      </autoFilter>
    </filter>
  </filters>
  <rowHierarchiesUsage count="2">
    <rowHierarchyUsage hierarchyUsage="6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Тренировочная таблица №2 (Неделя 2)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1295C-2101-40E6-9CA9-AE9DD32A67E0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Фамилия покупателя">
  <location ref="E2:F8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Row" showAll="0" sortType="descending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2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Выручка" fld="13" baseField="4" baseItem="2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BCCBD-2EB4-45DB-A89A-AC96C96B5352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Регион">
  <location ref="A2:C6" firstHeaderRow="0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7">
        <item x="5"/>
        <item x="1"/>
        <item x="2"/>
        <item x="3"/>
        <item x="0"/>
        <item x="4"/>
        <item t="default"/>
      </items>
    </pivotField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</pivotField>
    <pivotField showAll="0"/>
    <pivotField showAll="0"/>
    <pivotField numFmtId="164" showAll="0"/>
    <pivotField showAll="0"/>
    <pivotField dataField="1" numFmtId="164" showAll="0">
      <items count="20">
        <item x="5"/>
        <item x="8"/>
        <item x="17"/>
        <item x="11"/>
        <item x="2"/>
        <item x="14"/>
        <item x="1"/>
        <item x="7"/>
        <item x="9"/>
        <item x="12"/>
        <item x="16"/>
        <item x="4"/>
        <item x="18"/>
        <item x="10"/>
        <item x="13"/>
        <item x="6"/>
        <item x="3"/>
        <item x="0"/>
        <item x="15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2" baseField="2" baseItem="0" numFmtId="164"/>
    <dataField name="Прибыль" fld="13" baseField="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448C2-28B9-4485-85B1-BF172076DA30}" name="Сводная таблица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овар">
  <location ref="O9:P2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9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3">
    <i>
      <x v="4"/>
    </i>
    <i>
      <x v="9"/>
    </i>
    <i>
      <x v="10"/>
    </i>
    <i>
      <x v="2"/>
    </i>
    <i>
      <x v="6"/>
    </i>
    <i>
      <x v="11"/>
    </i>
    <i>
      <x v="3"/>
    </i>
    <i>
      <x v="7"/>
    </i>
    <i>
      <x/>
    </i>
    <i>
      <x v="8"/>
    </i>
    <i>
      <x v="1"/>
    </i>
    <i>
      <x v="5"/>
    </i>
    <i t="grand">
      <x/>
    </i>
  </rowItems>
  <colItems count="1">
    <i/>
  </colItems>
  <dataFields count="1">
    <dataField name="Прибыль" fld="13" baseField="7" baseItem="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524FC-EE56-4199-8604-4A57F0B8B255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mergeItem="1" createdVersion="8" indent="0" outline="1" outlineData="1" multipleFieldFilters="0" rowHeaderCaption="Товар">
  <location ref="M9:N2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</pivotField>
    <pivotField showAll="0"/>
    <pivotField dataField="1" showAll="0"/>
    <pivotField numFmtId="164" showAll="0"/>
    <pivotField numFmtId="9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ичество проданного товара" fld="9" baseField="7" baseItem="0"/>
  </dataFields>
  <formats count="1"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EF3C2-5F91-49CD-9381-E8623AEF19EF}" name="Сводная таблица7" cacheId="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rowHeaderCaption="Месяц">
  <location ref="H2:I5" firstHeaderRow="1" firstDataRow="1" firstDataCol="1"/>
  <pivotFields count="23"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0">
        <item x="14"/>
        <item x="17"/>
        <item x="9"/>
        <item x="3"/>
        <item x="6"/>
        <item x="0"/>
        <item x="12"/>
        <item x="2"/>
        <item x="11"/>
        <item x="13"/>
        <item x="10"/>
        <item x="7"/>
        <item x="1"/>
        <item x="4"/>
        <item x="16"/>
        <item x="5"/>
        <item x="8"/>
        <item x="15"/>
        <item x="18"/>
        <item t="default"/>
      </items>
    </pivotField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2"/>
    <field x="1"/>
  </rowFields>
  <rowItems count="3">
    <i>
      <x v="1"/>
    </i>
    <i>
      <x v="2"/>
    </i>
    <i t="grand">
      <x/>
    </i>
  </rowItems>
  <colItems count="1">
    <i/>
  </colItems>
  <dataFields count="1">
    <dataField name="Динамика продаж" fld="12" baseField="14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8B059BC7-CDAA-41B5-8868-047446367B0C}" sourceName="Region">
  <pivotTables>
    <pivotTable tabId="6" name="Сводная таблица10"/>
  </pivotTables>
  <data>
    <tabular pivotCacheId="1758445745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" xr10:uid="{08842FE4-33E5-4FF0-B52C-60797628E92A}" sourceName="City">
  <pivotTables>
    <pivotTable tabId="6" name="Сводная таблица10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" xr10:uid="{31F1311E-A04B-4109-AF98-AFBB23C876BC}" sourceName="Segment">
  <pivotTables>
    <pivotTable tabId="6" name="Сводная таблица10"/>
  </pivotTables>
  <data>
    <tabular pivotCacheId="1758445745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DE902036-6F7F-4A84-8E50-7837BD32C38E}" sourceName="Category">
  <pivotTables>
    <pivotTable tabId="6" name="Сводная таблица10"/>
  </pivotTables>
  <data>
    <tabular pivotCacheId="1758445745">
      <items count="3"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1" xr10:uid="{7B44E853-AFB9-49EF-A663-6A20D278E40C}" sourceName="Region">
  <pivotTables>
    <pivotTable tabId="7" name="Сводная таблица1"/>
  </pivotTables>
  <data>
    <tabular pivotCacheId="1758445745">
      <items count="3"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1" xr10:uid="{EED774AE-A464-4290-92D6-71D34DA327DC}" sourceName="City">
  <pivotTables>
    <pivotTable tabId="7" name="Сводная таблица1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1" xr10:uid="{D0E928BA-478D-4D75-9A1D-4457601799B2}" sourceName="Category">
  <pivotTables>
    <pivotTable tabId="7" name="Сводная таблица1"/>
  </pivotTables>
  <data>
    <tabular pivotCacheId="1758445745">
      <items count="3">
        <i x="1" s="1"/>
        <i x="2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ProductName" xr10:uid="{B91E2DC2-1B6E-404F-9AF8-1EFBE4A917D6}" sourceName="ProductName">
  <pivotTables>
    <pivotTable tabId="7" name="Сводная таблица1"/>
  </pivotTables>
  <data>
    <tabular pivotCacheId="1758445745">
      <items count="19">
        <i x="14" s="1"/>
        <i x="17" s="1"/>
        <i x="9" s="1"/>
        <i x="3" s="1"/>
        <i x="6" s="1"/>
        <i x="0" s="1"/>
        <i x="12" s="1"/>
        <i x="2" s="1"/>
        <i x="11" s="1"/>
        <i x="13" s="1"/>
        <i x="10" s="1"/>
        <i x="7" s="1"/>
        <i x="1" s="1"/>
        <i x="4" s="1"/>
        <i x="16" s="1"/>
        <i x="5" s="1"/>
        <i x="8" s="1"/>
        <i x="15" s="1"/>
        <i x="18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2" xr10:uid="{6D862A25-D368-466C-BD68-B56444BBA475}" sourceName="Region">
  <pivotTables>
    <pivotTable tabId="11" name="Сводная таблица5"/>
  </pivotTables>
  <data>
    <tabular pivotCacheId="1758445745">
      <items count="3">
        <i x="1" s="1"/>
        <i x="0" s="1"/>
        <i x="2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2" xr10:uid="{1411A906-3A1B-44B0-AAA5-F6891754C602}" sourceName="City">
  <pivotTables>
    <pivotTable tabId="11" name="Сводная таблица5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ustomerName" xr10:uid="{535C4D57-17BB-44E5-9CEB-B5E75E318FCE}" sourceName="CustomerName">
  <pivotTables>
    <pivotTable tabId="11" name="Сводная таблица5"/>
  </pivotTables>
  <data>
    <tabular pivotCacheId="1758445745">
      <items count="5">
        <i x="0" s="1"/>
        <i x="3" s="1"/>
        <i x="1" s="1"/>
        <i x="2" s="1"/>
        <i x="4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2" xr10:uid="{256EB835-80E7-4C94-AF57-D3FF602178D5}" sourceName="Category">
  <pivotTables>
    <pivotTable tabId="11" name="Сводная таблица5"/>
  </pivotTables>
  <data>
    <tabular pivotCacheId="1758445745">
      <items count="3">
        <i x="1" s="1"/>
        <i x="2" s="1"/>
        <i x="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ubCategory" xr10:uid="{73A2EC56-2024-46E7-A10D-0E2AED6130D7}" sourceName="SubCategory">
  <pivotTables>
    <pivotTable tabId="11" name="Сводная таблица5"/>
  </pivotTables>
  <data>
    <tabular pivotCacheId="1758445745">
      <items count="12">
        <i x="2" s="1"/>
        <i x="10" s="1"/>
        <i x="6" s="1"/>
        <i x="11" s="1"/>
        <i x="3" s="1"/>
        <i x="8" s="1"/>
        <i x="7" s="1"/>
        <i x="9" s="1"/>
        <i x="5" s="1"/>
        <i x="4" s="1"/>
        <i x="1" s="1"/>
        <i x="0" s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3" xr10:uid="{97E3BD3A-2903-49BE-B609-6ECFF4EEAF7B}" sourceName="[Таблица1].[Category]">
  <pivotTables>
    <pivotTable tabId="12" name="Сводная таблица2"/>
    <pivotTable tabId="13" name="Сводная таблица5"/>
  </pivotTables>
  <data>
    <olap pivotCacheId="411653036">
      <levels count="2">
        <level uniqueName="[Таблица1].[Category].[(All)]" sourceCaption="(All)" count="0"/>
        <level uniqueName="[Таблица1].[Category].[Category]" sourceCaption="Category" count="3">
          <ranges>
            <range startItem="0">
              <i n="[Таблица1].[Category].&amp;[Мебель]" c="Мебель"/>
              <i n="[Таблица1].[Category].&amp;[Офисные товары]" c="Офисные товары"/>
              <i n="[Таблица1].[Category].&amp;[Техника]" c="Техника"/>
            </range>
          </ranges>
        </level>
      </levels>
      <selections count="1">
        <selection n="[Таблица1].[Category].[All]"/>
      </selections>
    </olap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3" xr10:uid="{2E9DF0D1-AF47-4169-A2EA-1507E4FDE169}" sourceName="City">
  <pivotTables>
    <pivotTable tabId="12" name="Сводная таблица3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BAE5D809-C682-4A78-A146-87BF8361E011}" cache="Срез_Region" caption="Region" style="SlicerStyleDark1" rowHeight="241300"/>
  <slicer name="City" xr10:uid="{0A7655F6-F45B-41CE-8370-C490FB721C0B}" cache="Срез_City" caption="City" style="SlicerStyleLight4" rowHeight="241300"/>
  <slicer name="Segment" xr10:uid="{1F987A0C-151C-4CC8-B73B-B44F42859788}" cache="Срез_Segment" caption="Segment" style="SlicerStyleLight6" rowHeight="241300"/>
  <slicer name="Category" xr10:uid="{F814FF9C-2D9E-4E17-BEFB-DC96B4CBDD92}" cache="Срез_Category" caption="Category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4599E9BB-8B25-4835-A2B0-2B12C040B4A0}" cache="Срез_Region1" caption="Region" style="SlicerStyleOther1" rowHeight="241300"/>
  <slicer name="City 1" xr10:uid="{596D1826-A88E-48A0-926A-F6D78D725174}" cache="Срез_City1" caption="City" style="SlicerStyleLight4" rowHeight="241300"/>
  <slicer name="Category 1" xr10:uid="{55AAB857-293B-4212-A5AD-12186A3A53A6}" cache="Срез_Category1" caption="Category" style="SlicerStyleDark5" rowHeight="241300"/>
  <slicer name="ProductName" xr10:uid="{DF73D25E-DA42-4B46-8B1B-EA8D86BA7BB6}" cache="Срез_ProductName" caption="ProductName" style="SlicerStyleLight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3" xr10:uid="{52783DBD-B23D-4950-89C6-D4968B5D209D}" cache="Срез_Category3" caption="Категория Товара" level="1" rowHeight="241300"/>
  <slicer name="City 3" xr10:uid="{278F4D4C-B0BE-4E25-8219-BE548B884719}" cache="Срез_City3" caption="Город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2AECF3DB-B51E-48E7-8572-BCCEF3B51666}" cache="Срез_Region2" caption="Region" rowHeight="241300"/>
  <slicer name="City 2" xr10:uid="{B675B568-83A7-4421-B2E6-210BEF43EF48}" cache="Срез_City2" caption="City" style="SlicerStyleLight2" rowHeight="241300"/>
  <slicer name="CustomerName" xr10:uid="{94E0420D-0660-49F6-BDEF-B127CE20C829}" cache="Срез_CustomerName" caption="CustomerName" style="SlicerStyleLight3" rowHeight="241300"/>
  <slicer name="Category 2" xr10:uid="{CDA29B86-CFC4-4C87-87A8-0F7DDEE029C8}" cache="Срез_Category2" caption="Category" style="SlicerStyleLight6" rowHeight="241300"/>
  <slicer name="SubCategory" xr10:uid="{A79186D9-2F9D-4AEA-9DDB-510119F8A305}" cache="Срез_SubCategory" caption="SubCategory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4B71C-09FB-4606-91E5-3ECBE50B988C}" name="Таблица1" displayName="Таблица1" ref="A1:W22" totalsRowCount="1" dataDxfId="81">
  <autoFilter ref="A1:W21" xr:uid="{5C44B71C-09FB-4606-91E5-3ECBE50B988C}"/>
  <tableColumns count="23">
    <tableColumn id="1" xr3:uid="{B1D7344F-1910-4F1C-A31A-42EA1032D5C1}" name="OrderID" totalsRowFunction="custom" dataDxfId="80" totalsRowDxfId="79">
      <totalsRowFormula>COUNTA(Таблица1[OrderID])</totalsRowFormula>
    </tableColumn>
    <tableColumn id="2" xr3:uid="{07523457-63F7-4469-B28E-944448920B83}" name="OrderDate" dataDxfId="78" totalsRowDxfId="77"/>
    <tableColumn id="3" xr3:uid="{2F3B21BE-690A-4E67-B0D1-77E1B676230F}" name="Region" dataDxfId="76" totalsRowDxfId="75"/>
    <tableColumn id="4" xr3:uid="{930F861C-3D95-458B-822E-50CBA836D6E7}" name="City" dataDxfId="74" totalsRowDxfId="73"/>
    <tableColumn id="5" xr3:uid="{11BF92F8-09AB-4D44-BC45-0DE97BCBF330}" name="CustomerName" dataDxfId="72" totalsRowDxfId="71"/>
    <tableColumn id="6" xr3:uid="{298647AB-EEF8-42B2-88A2-4257942998E4}" name="Segment" dataDxfId="70" totalsRowDxfId="69"/>
    <tableColumn id="7" xr3:uid="{2DD30B01-113E-4AA4-ABEC-54FDE8EDA737}" name="Category" dataDxfId="68" totalsRowDxfId="67"/>
    <tableColumn id="8" xr3:uid="{A8ACA37A-FA56-4919-AE57-AD8E36FDAD01}" name="SubCategory" dataDxfId="66" totalsRowDxfId="65"/>
    <tableColumn id="9" xr3:uid="{F73FA021-D7C5-415F-A8F2-165069FE3C36}" name="ProductName" dataDxfId="64" totalsRowDxfId="63"/>
    <tableColumn id="10" xr3:uid="{3F595770-613F-48F2-9F25-B96D0FAE88E1}" name="Quantity" totalsRowFunction="custom" dataDxfId="62" totalsRowDxfId="61">
      <totalsRowFormula>MAX(Таблица1[Quantity])</totalsRowFormula>
    </tableColumn>
    <tableColumn id="11" xr3:uid="{B2C18628-DFF0-4510-8413-055EEFA1D636}" name="UnitPrice" dataDxfId="60" totalsRowDxfId="59"/>
    <tableColumn id="12" xr3:uid="{4D4EFD87-EBB0-4AB2-BDFE-ECBFEA729D44}" name="Discount" dataDxfId="58" totalsRowDxfId="57"/>
    <tableColumn id="13" xr3:uid="{1B5B32BF-2F5C-43D9-8E73-378E2F96ED41}" name="Sales" totalsRowFunction="sum" dataDxfId="56" totalsRowDxfId="55"/>
    <tableColumn id="14" xr3:uid="{125C1659-84E8-4418-8D7B-82D6235190C9}" name="Profit" totalsRowFunction="custom" dataDxfId="54" totalsRowDxfId="53">
      <totalsRowFormula>AVERAGE(Таблица1[Profit])</totalsRowFormula>
    </tableColumn>
    <tableColumn id="15" xr3:uid="{3033870F-6F6A-4898-AF9C-4DEDC92D1CDF}" name=" Сумма Profit" dataDxfId="52" totalsRowDxfId="51"/>
    <tableColumn id="17" xr3:uid="{5CD251AF-E025-490A-8800-4662D1912CB7}" name="Сумма продаж только по Минску и Технике" dataDxfId="50" totalsRowDxfId="49"/>
    <tableColumn id="18" xr3:uid="{4F46A848-DB13-4BAC-9F0E-8C2B454320B5}" name="Количество заказов с Profit &gt; 100 и Discount = 0 " dataDxfId="48" totalsRowDxfId="47"/>
    <tableColumn id="19" xr3:uid="{56D35120-05F0-4489-81E5-5F9165CAC9CD}" name="Средняя прибыль по крупным заказам" dataDxfId="46" totalsRowDxfId="45"/>
    <tableColumn id="20" xr3:uid="{1018CF48-7452-49EE-B642-258F63D44FC1}" name="Сумма продаж Мебели" dataDxfId="44"/>
    <tableColumn id="21" xr3:uid="{F634C257-C940-4160-A216-1A770B328AA5}" name="Сумма продаж техники" dataDxfId="43"/>
    <tableColumn id="22" xr3:uid="{7255912A-8CE3-4BE4-A622-7A03244B29FD}" name="Сумма продаж Офисных товаров" dataDxfId="42"/>
    <tableColumn id="23" xr3:uid="{0D64FA1E-2D3E-4649-86B2-4B387E18CD6F}" name="Количество заказов со скидкой больше 5% и выручкой больше 500 Br" dataDxfId="41"/>
    <tableColumn id="16" xr3:uid="{C06A93AE-854A-4E77-8417-781FE52E7126}" name="Выручка без скидки" totalsRowFunction="sum" dataDxfId="40" totalsRowDxfId="39">
      <calculatedColumnFormula>Таблица1[[#This Row],[Sales]] *(1-Таблица1[[#This Row],[Discount]])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07/relationships/slicer" Target="../slicers/slicer4.xml"/><Relationship Id="rId3" Type="http://schemas.openxmlformats.org/officeDocument/2006/relationships/pivotTable" Target="../pivotTables/pivotTable17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8773-446A-44F9-96B0-996D7AFB000D}">
  <dimension ref="A3:N34"/>
  <sheetViews>
    <sheetView topLeftCell="A3" zoomScaleNormal="100" workbookViewId="0">
      <selection activeCell="T20" sqref="T20"/>
    </sheetView>
  </sheetViews>
  <sheetFormatPr defaultRowHeight="15" x14ac:dyDescent="0.25"/>
  <cols>
    <col min="1" max="1" width="17.28515625" bestFit="1" customWidth="1"/>
    <col min="2" max="2" width="20.42578125" bestFit="1" customWidth="1"/>
    <col min="3" max="3" width="5.42578125" customWidth="1"/>
    <col min="4" max="4" width="24.28515625" bestFit="1" customWidth="1"/>
    <col min="5" max="5" width="11.7109375" bestFit="1" customWidth="1"/>
    <col min="6" max="6" width="6.85546875" customWidth="1"/>
    <col min="7" max="7" width="16" bestFit="1" customWidth="1"/>
    <col min="8" max="8" width="17.28515625" bestFit="1" customWidth="1"/>
    <col min="10" max="10" width="17.28515625" bestFit="1" customWidth="1"/>
    <col min="11" max="11" width="5.7109375" customWidth="1"/>
  </cols>
  <sheetData>
    <row r="3" spans="1:14" x14ac:dyDescent="0.25">
      <c r="A3" s="6" t="s">
        <v>81</v>
      </c>
      <c r="B3" t="s">
        <v>82</v>
      </c>
      <c r="C3" s="18"/>
      <c r="D3" s="6" t="s">
        <v>101</v>
      </c>
      <c r="E3" s="9" t="s">
        <v>102</v>
      </c>
      <c r="F3" s="18"/>
      <c r="G3" s="6" t="s">
        <v>105</v>
      </c>
      <c r="H3" t="s">
        <v>106</v>
      </c>
      <c r="K3" s="19"/>
    </row>
    <row r="4" spans="1:14" x14ac:dyDescent="0.25">
      <c r="A4" t="s">
        <v>26</v>
      </c>
      <c r="B4" s="2">
        <v>394.7</v>
      </c>
      <c r="C4" s="18"/>
      <c r="D4" s="7" t="s">
        <v>23</v>
      </c>
      <c r="E4" s="17">
        <v>7</v>
      </c>
      <c r="F4" s="18"/>
      <c r="G4" s="7" t="s">
        <v>35</v>
      </c>
      <c r="H4" s="2">
        <v>658.22499999999991</v>
      </c>
      <c r="K4" s="19"/>
    </row>
    <row r="5" spans="1:14" x14ac:dyDescent="0.25">
      <c r="A5" t="s">
        <v>14</v>
      </c>
      <c r="B5" s="2">
        <v>4578</v>
      </c>
      <c r="C5" s="18"/>
      <c r="D5" s="7" t="s">
        <v>29</v>
      </c>
      <c r="E5" s="17">
        <v>6</v>
      </c>
      <c r="F5" s="18"/>
      <c r="G5" s="7" t="s">
        <v>22</v>
      </c>
      <c r="H5" s="2">
        <v>292.71999999999997</v>
      </c>
      <c r="K5" s="19"/>
    </row>
    <row r="6" spans="1:14" x14ac:dyDescent="0.25">
      <c r="A6" t="s">
        <v>32</v>
      </c>
      <c r="B6" s="2">
        <v>4534</v>
      </c>
      <c r="C6" s="18"/>
      <c r="D6" s="7" t="s">
        <v>18</v>
      </c>
      <c r="E6" s="17">
        <v>7</v>
      </c>
      <c r="F6" s="18"/>
      <c r="G6" s="7" t="s">
        <v>17</v>
      </c>
      <c r="H6" s="2">
        <v>491.83636363636361</v>
      </c>
      <c r="K6" s="19"/>
    </row>
    <row r="7" spans="1:14" x14ac:dyDescent="0.25">
      <c r="A7" t="s">
        <v>65</v>
      </c>
      <c r="B7" s="2">
        <v>9506.7000000000007</v>
      </c>
      <c r="C7" s="18"/>
      <c r="D7" s="7" t="s">
        <v>65</v>
      </c>
      <c r="E7" s="17">
        <v>20</v>
      </c>
      <c r="F7" s="18"/>
      <c r="G7" s="7" t="s">
        <v>65</v>
      </c>
      <c r="H7" s="2">
        <v>475.33500000000004</v>
      </c>
      <c r="K7" s="19"/>
    </row>
    <row r="8" spans="1:14" x14ac:dyDescent="0.25">
      <c r="A8" s="18"/>
      <c r="B8" s="18"/>
      <c r="C8" s="18"/>
      <c r="D8" s="18"/>
      <c r="E8" s="18"/>
      <c r="F8" s="18"/>
      <c r="G8" s="18"/>
      <c r="H8" s="18"/>
      <c r="I8" s="18"/>
      <c r="K8" s="19"/>
    </row>
    <row r="9" spans="1:14" ht="30" x14ac:dyDescent="0.25">
      <c r="A9" s="6" t="s">
        <v>101</v>
      </c>
      <c r="B9" t="s">
        <v>100</v>
      </c>
      <c r="C9" s="18"/>
      <c r="D9" s="6" t="s">
        <v>85</v>
      </c>
      <c r="E9" s="9" t="s">
        <v>103</v>
      </c>
      <c r="F9" s="18"/>
      <c r="G9" s="6" t="s">
        <v>81</v>
      </c>
      <c r="H9" s="9" t="s">
        <v>104</v>
      </c>
      <c r="K9" s="19"/>
    </row>
    <row r="10" spans="1:14" x14ac:dyDescent="0.25">
      <c r="A10" s="7" t="s">
        <v>30</v>
      </c>
      <c r="B10" s="1">
        <v>2.2152797500710024E-2</v>
      </c>
      <c r="C10" s="18"/>
      <c r="D10" s="7" t="s">
        <v>66</v>
      </c>
      <c r="E10" s="2">
        <v>6399.9000000000005</v>
      </c>
      <c r="F10" s="18"/>
      <c r="G10" s="7" t="s">
        <v>45</v>
      </c>
      <c r="H10" s="2">
        <v>314</v>
      </c>
      <c r="K10" s="19"/>
    </row>
    <row r="11" spans="1:14" x14ac:dyDescent="0.25">
      <c r="A11" s="7" t="s">
        <v>55</v>
      </c>
      <c r="B11" s="1">
        <v>6.9950666372137543E-3</v>
      </c>
      <c r="C11" s="18"/>
      <c r="D11" s="7" t="s">
        <v>67</v>
      </c>
      <c r="E11" s="2">
        <v>3106.8</v>
      </c>
      <c r="F11" s="18"/>
      <c r="G11" s="8" t="s">
        <v>32</v>
      </c>
      <c r="H11" s="2">
        <v>314</v>
      </c>
      <c r="K11" s="19"/>
    </row>
    <row r="12" spans="1:14" x14ac:dyDescent="0.25">
      <c r="A12" s="7" t="s">
        <v>46</v>
      </c>
      <c r="B12" s="1">
        <v>0.1678815992931301</v>
      </c>
      <c r="C12" s="18"/>
      <c r="D12" s="7" t="s">
        <v>65</v>
      </c>
      <c r="E12" s="2">
        <v>9506.7000000000007</v>
      </c>
      <c r="F12" s="18"/>
      <c r="G12" s="7" t="s">
        <v>27</v>
      </c>
      <c r="H12" s="2">
        <v>34</v>
      </c>
      <c r="K12" s="19"/>
    </row>
    <row r="13" spans="1:14" x14ac:dyDescent="0.25">
      <c r="A13" s="7" t="s">
        <v>57</v>
      </c>
      <c r="B13" s="1">
        <v>3.8877844046830132E-2</v>
      </c>
      <c r="C13" s="18"/>
      <c r="F13" s="18"/>
      <c r="G13" s="8" t="s">
        <v>26</v>
      </c>
      <c r="H13" s="2">
        <v>34</v>
      </c>
      <c r="K13" s="19"/>
    </row>
    <row r="14" spans="1:14" x14ac:dyDescent="0.25">
      <c r="A14" s="7" t="s">
        <v>36</v>
      </c>
      <c r="B14" s="1">
        <v>0.23419272723447673</v>
      </c>
      <c r="C14" s="18"/>
      <c r="D14" s="6" t="s">
        <v>91</v>
      </c>
      <c r="E14" t="s">
        <v>82</v>
      </c>
      <c r="F14" s="18"/>
      <c r="G14" s="7" t="s">
        <v>33</v>
      </c>
      <c r="H14" s="2">
        <v>513</v>
      </c>
      <c r="K14" s="19"/>
    </row>
    <row r="15" spans="1:14" x14ac:dyDescent="0.25">
      <c r="A15" s="7" t="s">
        <v>50</v>
      </c>
      <c r="B15" s="1">
        <v>3.7868029915743631E-3</v>
      </c>
      <c r="C15" s="18"/>
      <c r="D15" s="7" t="s">
        <v>60</v>
      </c>
      <c r="E15" s="2">
        <v>1324.8</v>
      </c>
      <c r="F15" s="18"/>
      <c r="G15" s="8" t="s">
        <v>32</v>
      </c>
      <c r="H15" s="2">
        <v>513</v>
      </c>
      <c r="K15" s="19"/>
    </row>
    <row r="16" spans="1:14" x14ac:dyDescent="0.25">
      <c r="A16" s="7" t="s">
        <v>48</v>
      </c>
      <c r="B16" s="1">
        <v>7.9943618711014325E-2</v>
      </c>
      <c r="C16" s="18"/>
      <c r="D16" s="7" t="s">
        <v>20</v>
      </c>
      <c r="E16" s="2">
        <v>1235</v>
      </c>
      <c r="F16" s="18"/>
      <c r="G16" s="7" t="s">
        <v>38</v>
      </c>
      <c r="H16" s="2">
        <v>351</v>
      </c>
      <c r="I16" s="19"/>
      <c r="J16" s="19"/>
      <c r="K16" s="19"/>
      <c r="L16" s="19"/>
      <c r="M16" s="19"/>
      <c r="N16" s="19"/>
    </row>
    <row r="17" spans="1:11" x14ac:dyDescent="0.25">
      <c r="A17" s="7" t="s">
        <v>52</v>
      </c>
      <c r="B17" s="1">
        <v>3.5974628419956446E-2</v>
      </c>
      <c r="C17" s="18"/>
      <c r="D17" s="7" t="s">
        <v>37</v>
      </c>
      <c r="E17" s="2">
        <v>901.6</v>
      </c>
      <c r="F17" s="18"/>
      <c r="G17" s="8" t="s">
        <v>14</v>
      </c>
      <c r="H17" s="2">
        <v>351</v>
      </c>
      <c r="K17" s="19"/>
    </row>
    <row r="18" spans="1:11" x14ac:dyDescent="0.25">
      <c r="A18" s="7" t="s">
        <v>43</v>
      </c>
      <c r="B18" s="1">
        <v>8.5834201142352216E-3</v>
      </c>
      <c r="C18" s="18"/>
      <c r="D18" s="7" t="s">
        <v>63</v>
      </c>
      <c r="E18" s="2">
        <v>798</v>
      </c>
      <c r="F18" s="18"/>
      <c r="G18" s="7" t="s">
        <v>15</v>
      </c>
      <c r="H18" s="2">
        <v>760</v>
      </c>
      <c r="K18" s="19"/>
    </row>
    <row r="19" spans="1:11" x14ac:dyDescent="0.25">
      <c r="A19" s="7" t="s">
        <v>39</v>
      </c>
      <c r="B19" s="1">
        <v>0.1230710972261668</v>
      </c>
      <c r="C19" s="18"/>
      <c r="D19" s="7" t="s">
        <v>47</v>
      </c>
      <c r="E19" s="2">
        <v>798</v>
      </c>
      <c r="F19" s="18"/>
      <c r="G19" s="8" t="s">
        <v>14</v>
      </c>
      <c r="H19" s="2">
        <v>760</v>
      </c>
      <c r="K19" s="19"/>
    </row>
    <row r="20" spans="1:11" x14ac:dyDescent="0.25">
      <c r="A20" s="7" t="s">
        <v>24</v>
      </c>
      <c r="B20" s="1">
        <v>0.14863201741929374</v>
      </c>
      <c r="C20" s="18"/>
      <c r="D20" s="7" t="s">
        <v>59</v>
      </c>
      <c r="E20" s="2">
        <v>720</v>
      </c>
      <c r="F20" s="18"/>
      <c r="G20" s="7" t="s">
        <v>41</v>
      </c>
      <c r="H20" s="2">
        <v>22.3</v>
      </c>
      <c r="K20" s="19"/>
    </row>
    <row r="21" spans="1:11" x14ac:dyDescent="0.25">
      <c r="A21" s="7" t="s">
        <v>19</v>
      </c>
      <c r="B21" s="1">
        <v>0.12990838040539829</v>
      </c>
      <c r="C21" s="18"/>
      <c r="D21" s="7" t="s">
        <v>54</v>
      </c>
      <c r="E21" s="2">
        <v>580</v>
      </c>
      <c r="F21" s="18"/>
      <c r="G21" s="8" t="s">
        <v>26</v>
      </c>
      <c r="H21" s="2">
        <v>22.3</v>
      </c>
      <c r="K21" s="19"/>
    </row>
    <row r="22" spans="1:11" x14ac:dyDescent="0.25">
      <c r="A22" s="7" t="s">
        <v>65</v>
      </c>
      <c r="B22" s="1">
        <v>1</v>
      </c>
      <c r="C22" s="18"/>
      <c r="D22" s="7" t="s">
        <v>64</v>
      </c>
      <c r="E22" s="2">
        <v>513</v>
      </c>
      <c r="F22" s="18"/>
      <c r="G22" s="7" t="s">
        <v>65</v>
      </c>
      <c r="H22" s="2">
        <v>1994.3</v>
      </c>
      <c r="K22" s="19"/>
    </row>
    <row r="23" spans="1:11" x14ac:dyDescent="0.25">
      <c r="C23" s="18"/>
      <c r="D23" s="7" t="s">
        <v>40</v>
      </c>
      <c r="E23" s="2">
        <v>450</v>
      </c>
      <c r="F23" s="18"/>
      <c r="K23" s="19"/>
    </row>
    <row r="24" spans="1:11" x14ac:dyDescent="0.25">
      <c r="C24" s="18"/>
      <c r="D24" s="7" t="s">
        <v>61</v>
      </c>
      <c r="E24" s="2">
        <v>420</v>
      </c>
      <c r="F24" s="18"/>
      <c r="K24" s="19"/>
    </row>
    <row r="25" spans="1:11" x14ac:dyDescent="0.25">
      <c r="C25" s="18"/>
      <c r="D25" s="7" t="s">
        <v>58</v>
      </c>
      <c r="E25" s="2">
        <v>369.6</v>
      </c>
      <c r="F25" s="18"/>
      <c r="K25" s="19"/>
    </row>
    <row r="26" spans="1:11" x14ac:dyDescent="0.25">
      <c r="C26" s="18"/>
      <c r="D26" s="7" t="s">
        <v>53</v>
      </c>
      <c r="E26" s="2">
        <v>342</v>
      </c>
      <c r="F26" s="18"/>
      <c r="K26" s="19"/>
    </row>
    <row r="27" spans="1:11" x14ac:dyDescent="0.25">
      <c r="C27" s="18"/>
      <c r="D27" s="7" t="s">
        <v>49</v>
      </c>
      <c r="E27" s="2">
        <v>340</v>
      </c>
      <c r="F27" s="18"/>
      <c r="K27" s="19"/>
    </row>
    <row r="28" spans="1:11" x14ac:dyDescent="0.25">
      <c r="C28" s="18"/>
      <c r="D28" s="7" t="s">
        <v>25</v>
      </c>
      <c r="E28" s="2">
        <v>320</v>
      </c>
      <c r="F28" s="18"/>
      <c r="K28" s="19"/>
    </row>
    <row r="29" spans="1:11" x14ac:dyDescent="0.25">
      <c r="C29" s="18"/>
      <c r="D29" s="7" t="s">
        <v>31</v>
      </c>
      <c r="E29" s="2">
        <v>210.6</v>
      </c>
      <c r="F29" s="18"/>
      <c r="K29" s="19"/>
    </row>
    <row r="30" spans="1:11" x14ac:dyDescent="0.25">
      <c r="C30" s="18"/>
      <c r="D30" s="7" t="s">
        <v>56</v>
      </c>
      <c r="E30" s="2">
        <v>66.5</v>
      </c>
      <c r="F30" s="18"/>
    </row>
    <row r="31" spans="1:11" x14ac:dyDescent="0.25">
      <c r="C31" s="18"/>
      <c r="D31" s="7" t="s">
        <v>62</v>
      </c>
      <c r="E31" s="2">
        <v>51</v>
      </c>
      <c r="F31" s="18"/>
    </row>
    <row r="32" spans="1:11" x14ac:dyDescent="0.25">
      <c r="C32" s="18"/>
      <c r="D32" s="7" t="s">
        <v>51</v>
      </c>
      <c r="E32" s="2">
        <v>36</v>
      </c>
      <c r="F32" s="18"/>
    </row>
    <row r="33" spans="3:6" x14ac:dyDescent="0.25">
      <c r="C33" s="18"/>
      <c r="D33" s="7" t="s">
        <v>44</v>
      </c>
      <c r="E33" s="2">
        <v>30.6</v>
      </c>
      <c r="F33" s="18"/>
    </row>
    <row r="34" spans="3:6" x14ac:dyDescent="0.25">
      <c r="C34" s="18"/>
      <c r="D34" s="7" t="s">
        <v>65</v>
      </c>
      <c r="E34" s="2">
        <v>9506.7000000000007</v>
      </c>
      <c r="F34" s="18"/>
    </row>
  </sheetData>
  <conditionalFormatting pivot="1" sqref="E15:E33">
    <cfRule type="top10" priority="1" rank="5"/>
  </conditionalFormatting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5ECA-19B2-4D4F-B248-6C904C80B104}">
  <dimension ref="A1:J30"/>
  <sheetViews>
    <sheetView workbookViewId="0">
      <selection activeCell="O15" sqref="O15"/>
    </sheetView>
  </sheetViews>
  <sheetFormatPr defaultRowHeight="15" x14ac:dyDescent="0.25"/>
  <cols>
    <col min="1" max="1" width="24.28515625" bestFit="1" customWidth="1"/>
    <col min="2" max="2" width="16.42578125" customWidth="1"/>
    <col min="3" max="3" width="11.42578125" customWidth="1"/>
    <col min="4" max="4" width="11.85546875" bestFit="1" customWidth="1"/>
    <col min="5" max="5" width="24.140625" bestFit="1" customWidth="1"/>
    <col min="7" max="7" width="24.28515625" bestFit="1" customWidth="1"/>
    <col min="9" max="9" width="11.85546875" bestFit="1" customWidth="1"/>
    <col min="10" max="10" width="5.5703125" customWidth="1"/>
  </cols>
  <sheetData>
    <row r="1" spans="1:10" x14ac:dyDescent="0.25">
      <c r="A1" s="20"/>
      <c r="B1" s="20"/>
      <c r="C1" s="20"/>
      <c r="D1" s="25"/>
      <c r="E1" s="25"/>
      <c r="F1" s="20"/>
      <c r="G1" s="20"/>
      <c r="H1" s="20"/>
      <c r="I1" s="20"/>
      <c r="J1" s="20"/>
    </row>
    <row r="2" spans="1:10" ht="30" x14ac:dyDescent="0.25">
      <c r="A2" s="21" t="s">
        <v>71</v>
      </c>
      <c r="B2" s="22" t="s">
        <v>72</v>
      </c>
      <c r="C2" s="20"/>
      <c r="D2" s="21" t="s">
        <v>2</v>
      </c>
      <c r="E2" s="24" t="s">
        <v>70</v>
      </c>
      <c r="F2" s="20"/>
      <c r="G2" s="20"/>
      <c r="H2" s="20"/>
      <c r="I2" s="20"/>
      <c r="J2" s="20"/>
    </row>
    <row r="3" spans="1:10" x14ac:dyDescent="0.25">
      <c r="A3" s="23" t="s">
        <v>23</v>
      </c>
      <c r="B3" s="24">
        <v>7</v>
      </c>
      <c r="C3" s="20"/>
      <c r="D3" s="23" t="s">
        <v>26</v>
      </c>
      <c r="E3" s="24">
        <v>6</v>
      </c>
      <c r="F3" s="20"/>
      <c r="G3" s="20"/>
      <c r="H3" s="20"/>
      <c r="I3" s="20"/>
      <c r="J3" s="20"/>
    </row>
    <row r="4" spans="1:10" x14ac:dyDescent="0.25">
      <c r="A4" s="23" t="s">
        <v>29</v>
      </c>
      <c r="B4" s="24">
        <v>6</v>
      </c>
      <c r="C4" s="20"/>
      <c r="D4" s="23" t="s">
        <v>14</v>
      </c>
      <c r="E4" s="24">
        <v>8</v>
      </c>
      <c r="F4" s="20"/>
      <c r="G4" s="20"/>
      <c r="H4" s="20"/>
      <c r="I4" s="20"/>
      <c r="J4" s="20"/>
    </row>
    <row r="5" spans="1:10" x14ac:dyDescent="0.25">
      <c r="A5" s="23" t="s">
        <v>18</v>
      </c>
      <c r="B5" s="24">
        <v>7</v>
      </c>
      <c r="C5" s="20"/>
      <c r="D5" s="23" t="s">
        <v>32</v>
      </c>
      <c r="E5" s="24">
        <v>6</v>
      </c>
      <c r="F5" s="20"/>
      <c r="G5" s="20"/>
      <c r="H5" s="20"/>
      <c r="I5" s="20"/>
      <c r="J5" s="20"/>
    </row>
    <row r="6" spans="1:10" x14ac:dyDescent="0.25">
      <c r="A6" s="23" t="s">
        <v>65</v>
      </c>
      <c r="B6" s="24">
        <v>20</v>
      </c>
      <c r="C6" s="20"/>
      <c r="D6" s="23" t="s">
        <v>65</v>
      </c>
      <c r="E6" s="24">
        <v>20</v>
      </c>
      <c r="F6" s="20"/>
      <c r="G6" s="20"/>
      <c r="H6" s="20"/>
      <c r="I6" s="20"/>
      <c r="J6" s="20"/>
    </row>
    <row r="7" spans="1:10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30" x14ac:dyDescent="0.25">
      <c r="A8" s="21" t="s">
        <v>69</v>
      </c>
      <c r="B8" s="20"/>
      <c r="C8" s="21" t="s">
        <v>3</v>
      </c>
      <c r="D8" s="22" t="s">
        <v>68</v>
      </c>
      <c r="F8" s="20"/>
      <c r="G8" s="20"/>
      <c r="H8" s="20"/>
      <c r="I8" s="20"/>
      <c r="J8" s="20"/>
    </row>
    <row r="9" spans="1:10" x14ac:dyDescent="0.25">
      <c r="A9" s="23" t="s">
        <v>60</v>
      </c>
      <c r="B9" s="20"/>
      <c r="C9" s="23" t="s">
        <v>45</v>
      </c>
      <c r="D9" s="24">
        <v>3</v>
      </c>
      <c r="F9" s="20"/>
      <c r="G9" s="20"/>
      <c r="H9" s="20"/>
      <c r="I9" s="20"/>
      <c r="J9" s="20"/>
    </row>
    <row r="10" spans="1:10" x14ac:dyDescent="0.25">
      <c r="A10" s="23" t="s">
        <v>63</v>
      </c>
      <c r="B10" s="20"/>
      <c r="C10" s="23" t="s">
        <v>27</v>
      </c>
      <c r="D10" s="24">
        <v>3</v>
      </c>
      <c r="F10" s="20"/>
      <c r="G10" s="20"/>
      <c r="H10" s="20"/>
      <c r="I10" s="20"/>
      <c r="J10" s="20"/>
    </row>
    <row r="11" spans="1:10" x14ac:dyDescent="0.25">
      <c r="A11" s="23" t="s">
        <v>53</v>
      </c>
      <c r="B11" s="20"/>
      <c r="C11" s="23" t="s">
        <v>33</v>
      </c>
      <c r="D11" s="24">
        <v>3</v>
      </c>
      <c r="F11" s="20"/>
      <c r="G11" s="20"/>
      <c r="H11" s="20"/>
      <c r="I11" s="20"/>
      <c r="J11" s="20"/>
    </row>
    <row r="12" spans="1:10" x14ac:dyDescent="0.25">
      <c r="A12" s="23" t="s">
        <v>37</v>
      </c>
      <c r="B12" s="20"/>
      <c r="C12" s="23" t="s">
        <v>38</v>
      </c>
      <c r="D12" s="24">
        <v>2</v>
      </c>
      <c r="F12" s="20"/>
      <c r="G12" s="20"/>
      <c r="H12" s="20"/>
      <c r="I12" s="20"/>
      <c r="J12" s="20"/>
    </row>
    <row r="13" spans="1:10" x14ac:dyDescent="0.25">
      <c r="A13" s="23" t="s">
        <v>47</v>
      </c>
      <c r="B13" s="20"/>
      <c r="C13" s="23" t="s">
        <v>15</v>
      </c>
      <c r="D13" s="24">
        <v>6</v>
      </c>
      <c r="F13" s="20"/>
      <c r="G13" s="20"/>
      <c r="H13" s="20"/>
      <c r="I13" s="20"/>
      <c r="J13" s="20"/>
    </row>
    <row r="14" spans="1:10" x14ac:dyDescent="0.25">
      <c r="A14" s="23" t="s">
        <v>20</v>
      </c>
      <c r="B14" s="20"/>
      <c r="C14" s="23" t="s">
        <v>41</v>
      </c>
      <c r="D14" s="24">
        <v>3</v>
      </c>
      <c r="F14" s="20"/>
      <c r="G14" s="20"/>
      <c r="H14" s="20"/>
      <c r="I14" s="20"/>
      <c r="J14" s="20"/>
    </row>
    <row r="15" spans="1:10" x14ac:dyDescent="0.25">
      <c r="A15" s="23" t="s">
        <v>58</v>
      </c>
      <c r="B15" s="20"/>
      <c r="C15" s="23" t="s">
        <v>65</v>
      </c>
      <c r="D15" s="24">
        <v>20</v>
      </c>
      <c r="F15" s="20"/>
      <c r="G15" s="20"/>
      <c r="H15" s="20"/>
      <c r="I15" s="20"/>
      <c r="J15" s="20"/>
    </row>
    <row r="16" spans="1:10" x14ac:dyDescent="0.25">
      <c r="A16" s="23" t="s">
        <v>31</v>
      </c>
      <c r="B16" s="20"/>
      <c r="C16" s="20"/>
      <c r="D16" s="20"/>
      <c r="F16" s="20"/>
      <c r="G16" s="20"/>
      <c r="H16" s="20"/>
      <c r="I16" s="20"/>
      <c r="J16" s="20"/>
    </row>
    <row r="17" spans="1:10" x14ac:dyDescent="0.25">
      <c r="A17" s="23" t="s">
        <v>56</v>
      </c>
      <c r="B17" s="20"/>
      <c r="D17" s="20"/>
      <c r="E17" s="20"/>
      <c r="F17" s="20"/>
      <c r="G17" s="20"/>
      <c r="H17" s="20"/>
      <c r="I17" s="20"/>
      <c r="J17" s="20"/>
    </row>
    <row r="18" spans="1:10" x14ac:dyDescent="0.25">
      <c r="A18" s="23" t="s">
        <v>59</v>
      </c>
      <c r="B18" s="20"/>
      <c r="D18" s="20"/>
      <c r="E18" s="20"/>
      <c r="F18" s="20"/>
      <c r="G18" s="20"/>
      <c r="H18" s="20"/>
      <c r="I18" s="20"/>
      <c r="J18" s="20"/>
    </row>
    <row r="19" spans="1:10" x14ac:dyDescent="0.25">
      <c r="A19" s="23" t="s">
        <v>54</v>
      </c>
      <c r="B19" s="20"/>
      <c r="F19" s="20"/>
      <c r="G19" s="20"/>
      <c r="H19" s="20"/>
      <c r="I19" s="20"/>
      <c r="J19" s="20"/>
    </row>
    <row r="20" spans="1:10" x14ac:dyDescent="0.25">
      <c r="A20" s="23" t="s">
        <v>49</v>
      </c>
      <c r="B20" s="20"/>
      <c r="F20" s="20"/>
      <c r="G20" s="20"/>
      <c r="H20" s="20"/>
      <c r="I20" s="20"/>
      <c r="J20" s="20"/>
    </row>
    <row r="21" spans="1:10" x14ac:dyDescent="0.25">
      <c r="A21" s="23" t="s">
        <v>25</v>
      </c>
      <c r="B21" s="20"/>
      <c r="F21" s="20"/>
      <c r="G21" s="20"/>
      <c r="H21" s="20"/>
      <c r="I21" s="20"/>
      <c r="J21" s="20"/>
    </row>
    <row r="22" spans="1:10" x14ac:dyDescent="0.25">
      <c r="A22" s="23" t="s">
        <v>40</v>
      </c>
      <c r="B22" s="20"/>
      <c r="F22" s="20"/>
      <c r="G22" s="20"/>
      <c r="H22" s="20"/>
      <c r="I22" s="20"/>
      <c r="J22" s="20"/>
    </row>
    <row r="23" spans="1:10" x14ac:dyDescent="0.25">
      <c r="A23" s="23" t="s">
        <v>62</v>
      </c>
      <c r="B23" s="20"/>
      <c r="F23" s="20"/>
      <c r="G23" s="20"/>
      <c r="H23" s="20"/>
      <c r="I23" s="20"/>
      <c r="J23" s="20"/>
    </row>
    <row r="24" spans="1:10" x14ac:dyDescent="0.25">
      <c r="A24" s="23" t="s">
        <v>44</v>
      </c>
      <c r="B24" s="20"/>
      <c r="F24" s="20"/>
      <c r="G24" s="20"/>
      <c r="H24" s="20"/>
      <c r="I24" s="20"/>
      <c r="J24" s="20"/>
    </row>
    <row r="25" spans="1:10" x14ac:dyDescent="0.25">
      <c r="A25" s="23" t="s">
        <v>51</v>
      </c>
      <c r="B25" s="20"/>
      <c r="F25" s="20"/>
      <c r="G25" s="20"/>
      <c r="H25" s="20"/>
      <c r="I25" s="20"/>
      <c r="J25" s="20"/>
    </row>
    <row r="26" spans="1:10" x14ac:dyDescent="0.25">
      <c r="A26" s="23" t="s">
        <v>61</v>
      </c>
      <c r="B26" s="20"/>
      <c r="F26" s="20"/>
      <c r="G26" s="20"/>
      <c r="H26" s="20"/>
      <c r="I26" s="20"/>
      <c r="J26" s="20"/>
    </row>
    <row r="27" spans="1:10" x14ac:dyDescent="0.25">
      <c r="A27" s="23" t="s">
        <v>64</v>
      </c>
      <c r="B27" s="20"/>
      <c r="F27" s="20"/>
      <c r="G27" s="20"/>
      <c r="H27" s="20"/>
      <c r="I27" s="20"/>
      <c r="J27" s="20"/>
    </row>
    <row r="28" spans="1:10" x14ac:dyDescent="0.25">
      <c r="A28" s="23" t="s">
        <v>65</v>
      </c>
      <c r="B28" s="20"/>
      <c r="F28" s="20"/>
      <c r="G28" s="20"/>
      <c r="H28" s="20"/>
      <c r="I28" s="20"/>
      <c r="J28" s="20"/>
    </row>
    <row r="29" spans="1:10" x14ac:dyDescent="0.25">
      <c r="A29" s="20"/>
      <c r="B29" s="20"/>
      <c r="F29" s="20"/>
      <c r="G29" s="20"/>
      <c r="H29" s="20"/>
      <c r="I29" s="20"/>
      <c r="J29" s="20"/>
    </row>
    <row r="30" spans="1:10" x14ac:dyDescent="0.25">
      <c r="F30" s="20"/>
      <c r="G30" s="20"/>
      <c r="H30" s="20"/>
      <c r="I30" s="20"/>
      <c r="J30" s="20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BD7A-0841-4B90-A966-CBF0158A3322}">
  <dimension ref="A3:G10"/>
  <sheetViews>
    <sheetView workbookViewId="0">
      <selection activeCell="F25" sqref="F25"/>
    </sheetView>
  </sheetViews>
  <sheetFormatPr defaultRowHeight="15" x14ac:dyDescent="0.25"/>
  <cols>
    <col min="1" max="1" width="19.140625" bestFit="1" customWidth="1"/>
    <col min="2" max="2" width="11.7109375" bestFit="1" customWidth="1"/>
    <col min="3" max="3" width="10.28515625" bestFit="1" customWidth="1"/>
    <col min="5" max="5" width="11.85546875" bestFit="1" customWidth="1"/>
    <col min="6" max="6" width="11.7109375" bestFit="1" customWidth="1"/>
    <col min="7" max="7" width="10.28515625" bestFit="1" customWidth="1"/>
  </cols>
  <sheetData>
    <row r="3" spans="1:7" x14ac:dyDescent="0.25">
      <c r="A3" s="6" t="s">
        <v>91</v>
      </c>
      <c r="B3" t="s">
        <v>82</v>
      </c>
      <c r="C3" t="s">
        <v>97</v>
      </c>
      <c r="E3" s="6" t="s">
        <v>98</v>
      </c>
      <c r="F3" t="s">
        <v>82</v>
      </c>
      <c r="G3" t="s">
        <v>97</v>
      </c>
    </row>
    <row r="4" spans="1:7" x14ac:dyDescent="0.25">
      <c r="A4" s="7" t="s">
        <v>47</v>
      </c>
      <c r="B4" s="2">
        <v>798</v>
      </c>
      <c r="C4" s="1">
        <v>0.15778858702099893</v>
      </c>
      <c r="E4" s="7" t="s">
        <v>15</v>
      </c>
      <c r="F4" s="2">
        <v>3408</v>
      </c>
      <c r="G4" s="1">
        <v>0.35848401653570644</v>
      </c>
    </row>
    <row r="5" spans="1:7" x14ac:dyDescent="0.25">
      <c r="A5" s="7" t="s">
        <v>63</v>
      </c>
      <c r="B5" s="2">
        <v>798</v>
      </c>
      <c r="C5" s="1">
        <v>0.15778858702099893</v>
      </c>
      <c r="E5" s="7" t="s">
        <v>33</v>
      </c>
      <c r="F5" s="2">
        <v>2568.3999999999996</v>
      </c>
      <c r="G5" s="1">
        <v>0.27016735565443317</v>
      </c>
    </row>
    <row r="6" spans="1:7" x14ac:dyDescent="0.25">
      <c r="A6" s="7" t="s">
        <v>37</v>
      </c>
      <c r="B6" s="2">
        <v>901.6</v>
      </c>
      <c r="C6" s="1">
        <v>0.1782734211254795</v>
      </c>
      <c r="E6" s="7" t="s">
        <v>45</v>
      </c>
      <c r="F6" s="2">
        <v>1965.6</v>
      </c>
      <c r="G6" s="1">
        <v>0.20675944333996024</v>
      </c>
    </row>
    <row r="7" spans="1:7" x14ac:dyDescent="0.25">
      <c r="A7" s="7" t="s">
        <v>20</v>
      </c>
      <c r="B7" s="2">
        <v>1235</v>
      </c>
      <c r="C7" s="1">
        <v>0.24419662277059359</v>
      </c>
      <c r="E7" s="7" t="s">
        <v>38</v>
      </c>
      <c r="F7" s="2">
        <v>1170</v>
      </c>
      <c r="G7" s="1">
        <v>0.12307109722616683</v>
      </c>
    </row>
    <row r="8" spans="1:7" x14ac:dyDescent="0.25">
      <c r="A8" s="7" t="s">
        <v>60</v>
      </c>
      <c r="B8" s="2">
        <v>1324.8</v>
      </c>
      <c r="C8" s="1">
        <v>0.26195278206192907</v>
      </c>
      <c r="E8" s="7" t="s">
        <v>27</v>
      </c>
      <c r="F8" s="2">
        <v>246.6</v>
      </c>
      <c r="G8" s="1">
        <v>2.593960049228439E-2</v>
      </c>
    </row>
    <row r="9" spans="1:7" x14ac:dyDescent="0.25">
      <c r="A9" s="7" t="s">
        <v>65</v>
      </c>
      <c r="B9" s="2">
        <v>5057.3999999999996</v>
      </c>
      <c r="C9" s="1">
        <v>1</v>
      </c>
      <c r="E9" s="7" t="s">
        <v>41</v>
      </c>
      <c r="F9" s="2">
        <v>148.1</v>
      </c>
      <c r="G9" s="1">
        <v>1.5578486751448978E-2</v>
      </c>
    </row>
    <row r="10" spans="1:7" x14ac:dyDescent="0.25">
      <c r="E10" s="7" t="s">
        <v>65</v>
      </c>
      <c r="F10" s="2">
        <v>9506.6999999999989</v>
      </c>
      <c r="G10" s="1">
        <v>1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4F9F-435E-4C00-9BCB-772999266F12}">
  <dimension ref="C4:E23"/>
  <sheetViews>
    <sheetView workbookViewId="0">
      <selection activeCell="H16" sqref="H16"/>
    </sheetView>
  </sheetViews>
  <sheetFormatPr defaultRowHeight="15" x14ac:dyDescent="0.25"/>
  <cols>
    <col min="3" max="3" width="28.140625" bestFit="1" customWidth="1"/>
    <col min="4" max="4" width="11.7109375" bestFit="1" customWidth="1"/>
    <col min="5" max="5" width="23.5703125" bestFit="1" customWidth="1"/>
  </cols>
  <sheetData>
    <row r="4" spans="3:5" x14ac:dyDescent="0.25">
      <c r="C4" s="6" t="s">
        <v>91</v>
      </c>
      <c r="D4" t="s">
        <v>83</v>
      </c>
      <c r="E4" t="s">
        <v>99</v>
      </c>
    </row>
    <row r="5" spans="3:5" x14ac:dyDescent="0.25">
      <c r="C5" s="7" t="s">
        <v>23</v>
      </c>
      <c r="D5" s="2"/>
      <c r="E5" s="1"/>
    </row>
    <row r="6" spans="3:5" x14ac:dyDescent="0.25">
      <c r="C6" s="8" t="s">
        <v>59</v>
      </c>
      <c r="D6" s="2">
        <v>216</v>
      </c>
      <c r="E6" s="1">
        <v>0.12862502233073306</v>
      </c>
    </row>
    <row r="7" spans="3:5" x14ac:dyDescent="0.25">
      <c r="C7" s="8" t="s">
        <v>54</v>
      </c>
      <c r="D7" s="2">
        <v>174</v>
      </c>
      <c r="E7" s="1">
        <v>0.1036146013219794</v>
      </c>
    </row>
    <row r="8" spans="3:5" x14ac:dyDescent="0.25">
      <c r="C8" s="8" t="s">
        <v>40</v>
      </c>
      <c r="D8" s="2">
        <v>135</v>
      </c>
      <c r="E8" s="1">
        <v>8.0390638956708158E-2</v>
      </c>
    </row>
    <row r="9" spans="3:5" x14ac:dyDescent="0.25">
      <c r="C9" s="8" t="s">
        <v>61</v>
      </c>
      <c r="D9" s="2">
        <v>126</v>
      </c>
      <c r="E9" s="1">
        <v>7.5031263026260939E-2</v>
      </c>
    </row>
    <row r="10" spans="3:5" x14ac:dyDescent="0.25">
      <c r="C10" s="8" t="s">
        <v>49</v>
      </c>
      <c r="D10" s="2">
        <v>102</v>
      </c>
      <c r="E10" s="1">
        <v>6.0739593878401714E-2</v>
      </c>
    </row>
    <row r="11" spans="3:5" x14ac:dyDescent="0.25">
      <c r="C11" s="7" t="s">
        <v>29</v>
      </c>
      <c r="D11" s="2"/>
      <c r="E11" s="1"/>
    </row>
    <row r="12" spans="3:5" x14ac:dyDescent="0.25">
      <c r="C12" s="8" t="s">
        <v>31</v>
      </c>
      <c r="D12" s="2">
        <v>29</v>
      </c>
      <c r="E12" s="1">
        <v>1.7269100220329899E-2</v>
      </c>
    </row>
    <row r="13" spans="3:5" x14ac:dyDescent="0.25">
      <c r="C13" s="8" t="s">
        <v>56</v>
      </c>
      <c r="D13" s="2">
        <v>10</v>
      </c>
      <c r="E13" s="1">
        <v>5.9548621449413445E-3</v>
      </c>
    </row>
    <row r="14" spans="3:5" x14ac:dyDescent="0.25">
      <c r="C14" s="8" t="s">
        <v>62</v>
      </c>
      <c r="D14" s="2">
        <v>7.7</v>
      </c>
      <c r="E14" s="1">
        <v>4.5852438516048354E-3</v>
      </c>
    </row>
    <row r="15" spans="3:5" x14ac:dyDescent="0.25">
      <c r="C15" s="8" t="s">
        <v>51</v>
      </c>
      <c r="D15" s="2">
        <v>5</v>
      </c>
      <c r="E15" s="1">
        <v>2.9774310724706723E-3</v>
      </c>
    </row>
    <row r="16" spans="3:5" x14ac:dyDescent="0.25">
      <c r="C16" s="8" t="s">
        <v>44</v>
      </c>
      <c r="D16" s="2">
        <v>4.5999999999999996</v>
      </c>
      <c r="E16" s="1">
        <v>2.7392365866730183E-3</v>
      </c>
    </row>
    <row r="17" spans="3:5" x14ac:dyDescent="0.25">
      <c r="C17" s="7" t="s">
        <v>18</v>
      </c>
      <c r="D17" s="2"/>
      <c r="E17" s="1"/>
    </row>
    <row r="18" spans="3:5" x14ac:dyDescent="0.25">
      <c r="C18" s="8" t="s">
        <v>60</v>
      </c>
      <c r="D18" s="2">
        <v>265</v>
      </c>
      <c r="E18" s="1">
        <v>0.15780384684094564</v>
      </c>
    </row>
    <row r="19" spans="3:5" x14ac:dyDescent="0.25">
      <c r="C19" s="8" t="s">
        <v>20</v>
      </c>
      <c r="D19" s="2">
        <v>185</v>
      </c>
      <c r="E19" s="1">
        <v>0.11016494968141488</v>
      </c>
    </row>
    <row r="20" spans="3:5" x14ac:dyDescent="0.25">
      <c r="C20" s="8" t="s">
        <v>37</v>
      </c>
      <c r="D20" s="2">
        <v>180</v>
      </c>
      <c r="E20" s="1">
        <v>0.10718751860894421</v>
      </c>
    </row>
    <row r="21" spans="3:5" x14ac:dyDescent="0.25">
      <c r="C21" s="8" t="s">
        <v>63</v>
      </c>
      <c r="D21" s="2">
        <v>120</v>
      </c>
      <c r="E21" s="1">
        <v>7.1458345739296131E-2</v>
      </c>
    </row>
    <row r="22" spans="3:5" x14ac:dyDescent="0.25">
      <c r="C22" s="8" t="s">
        <v>47</v>
      </c>
      <c r="D22" s="2">
        <v>120</v>
      </c>
      <c r="E22" s="1">
        <v>7.1458345739296131E-2</v>
      </c>
    </row>
    <row r="23" spans="3:5" x14ac:dyDescent="0.25">
      <c r="C23" s="7" t="s">
        <v>65</v>
      </c>
      <c r="D23" s="2">
        <v>1679.3</v>
      </c>
      <c r="E23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zoomScaleNormal="100" workbookViewId="0">
      <selection activeCell="M25" sqref="M25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9.42578125" bestFit="1" customWidth="1"/>
    <col min="4" max="4" width="9" bestFit="1" customWidth="1"/>
    <col min="5" max="5" width="17.28515625" bestFit="1" customWidth="1"/>
    <col min="6" max="6" width="16" bestFit="1" customWidth="1"/>
    <col min="7" max="7" width="16.5703125" bestFit="1" customWidth="1"/>
    <col min="8" max="8" width="14.42578125" bestFit="1" customWidth="1"/>
    <col min="9" max="9" width="24.28515625" bestFit="1" customWidth="1"/>
    <col min="10" max="10" width="11" bestFit="1" customWidth="1"/>
    <col min="11" max="11" width="12.7109375" style="2" bestFit="1" customWidth="1"/>
    <col min="12" max="12" width="11" style="10" bestFit="1" customWidth="1"/>
    <col min="13" max="13" width="15.28515625" style="2" customWidth="1"/>
    <col min="14" max="14" width="12.7109375" style="2" bestFit="1" customWidth="1"/>
    <col min="15" max="15" width="17" style="2" bestFit="1" customWidth="1"/>
    <col min="16" max="16" width="17.42578125" bestFit="1" customWidth="1"/>
    <col min="17" max="17" width="11.42578125" bestFit="1" customWidth="1"/>
    <col min="18" max="18" width="14.28515625" bestFit="1" customWidth="1"/>
    <col min="19" max="21" width="12" bestFit="1" customWidth="1"/>
    <col min="22" max="22" width="11.140625" bestFit="1" customWidth="1"/>
    <col min="23" max="23" width="12" bestFit="1" customWidth="1"/>
  </cols>
  <sheetData>
    <row r="1" spans="1:23" ht="1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10" t="s">
        <v>11</v>
      </c>
      <c r="M1" s="2" t="s">
        <v>12</v>
      </c>
      <c r="N1" s="2" t="s">
        <v>13</v>
      </c>
      <c r="O1" s="2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  <c r="U1" s="9" t="s">
        <v>79</v>
      </c>
      <c r="V1" s="9" t="s">
        <v>80</v>
      </c>
      <c r="W1" s="9" t="s">
        <v>96</v>
      </c>
    </row>
    <row r="2" spans="1:23" x14ac:dyDescent="0.25">
      <c r="A2" s="3">
        <v>1</v>
      </c>
      <c r="B2" s="4">
        <v>45292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2</v>
      </c>
      <c r="K2" s="5">
        <v>650</v>
      </c>
      <c r="L2" s="11">
        <v>0.05</v>
      </c>
      <c r="M2" s="5">
        <v>1235</v>
      </c>
      <c r="N2" s="5">
        <v>185</v>
      </c>
      <c r="O2" s="5">
        <f>SUM(Таблица1[Profit])</f>
        <v>1994.3</v>
      </c>
      <c r="P2" s="5">
        <f>SUMIFS(Таблица1[Sales], Таблица1[City], "Минск", Таблица1[Category], "Техника")</f>
        <v>1235</v>
      </c>
      <c r="Q2" s="3">
        <f>COUNTIFS(Таблица1[Profit], "&gt;100", Таблица1[Discount], 0)</f>
        <v>5</v>
      </c>
      <c r="R2" s="5">
        <f>AVERAGEIFS(Таблица1[Profit], Таблица1[Sales], "&gt;500")</f>
        <v>167.125</v>
      </c>
      <c r="S2" s="5">
        <f>SUMIFS(Таблица1[Sales], Таблица1[Category], "Мебель")</f>
        <v>3343</v>
      </c>
      <c r="T2" s="5">
        <f>SUMIFS(Таблица1[Sales], Таблица1[Category], "Техника")</f>
        <v>5769</v>
      </c>
      <c r="U2" s="5">
        <f>SUMIFS(Таблица1[Sales], Таблица1[Category], "Офисные товары")</f>
        <v>394.7</v>
      </c>
      <c r="V2" s="3">
        <f>COUNTIFS(Таблица1[Discount], "&gt;5%", Таблица1[Sales], "&gt;500")</f>
        <v>3</v>
      </c>
      <c r="W2" s="5">
        <f>Таблица1[[#This Row],[Sales]] *(1-Таблица1[[#This Row],[Discount]])</f>
        <v>1173.25</v>
      </c>
    </row>
    <row r="3" spans="1:23" x14ac:dyDescent="0.25">
      <c r="A3" s="3">
        <v>2</v>
      </c>
      <c r="B3" s="4">
        <v>45293</v>
      </c>
      <c r="C3" s="3" t="s">
        <v>14</v>
      </c>
      <c r="D3" s="3" t="s">
        <v>15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>
        <v>1</v>
      </c>
      <c r="K3" s="5">
        <v>320</v>
      </c>
      <c r="L3" s="11">
        <v>0</v>
      </c>
      <c r="M3" s="5">
        <v>320</v>
      </c>
      <c r="N3" s="5">
        <v>96</v>
      </c>
      <c r="O3" s="5"/>
      <c r="P3" s="5"/>
      <c r="Q3" s="3"/>
      <c r="R3" s="5"/>
      <c r="S3" s="5"/>
      <c r="T3" s="5"/>
      <c r="U3" s="5"/>
      <c r="V3" s="3"/>
      <c r="W3" s="5">
        <f>Таблица1[[#This Row],[Sales]] *(1-Таблица1[[#This Row],[Discount]])</f>
        <v>320</v>
      </c>
    </row>
    <row r="4" spans="1:23" x14ac:dyDescent="0.25">
      <c r="A4" s="3">
        <v>3</v>
      </c>
      <c r="B4" s="4">
        <v>45294</v>
      </c>
      <c r="C4" s="3" t="s">
        <v>26</v>
      </c>
      <c r="D4" s="3" t="s">
        <v>27</v>
      </c>
      <c r="E4" s="3" t="s">
        <v>28</v>
      </c>
      <c r="F4" s="3" t="s">
        <v>17</v>
      </c>
      <c r="G4" s="3" t="s">
        <v>29</v>
      </c>
      <c r="H4" s="3" t="s">
        <v>30</v>
      </c>
      <c r="I4" s="3" t="s">
        <v>31</v>
      </c>
      <c r="J4" s="3">
        <v>5</v>
      </c>
      <c r="K4" s="5">
        <v>18</v>
      </c>
      <c r="L4" s="11">
        <v>0.1</v>
      </c>
      <c r="M4" s="5">
        <v>81</v>
      </c>
      <c r="N4" s="5">
        <v>11</v>
      </c>
      <c r="O4" s="5"/>
      <c r="P4" s="5"/>
      <c r="Q4" s="3"/>
      <c r="R4" s="5"/>
      <c r="S4" s="5"/>
      <c r="T4" s="5"/>
      <c r="U4" s="5"/>
      <c r="V4" s="3"/>
      <c r="W4" s="5">
        <f>Таблица1[[#This Row],[Sales]] *(1-Таблица1[[#This Row],[Discount]])</f>
        <v>72.900000000000006</v>
      </c>
    </row>
    <row r="5" spans="1:23" x14ac:dyDescent="0.25">
      <c r="A5" s="3">
        <v>4</v>
      </c>
      <c r="B5" s="4">
        <v>45296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18</v>
      </c>
      <c r="H5" s="3" t="s">
        <v>36</v>
      </c>
      <c r="I5" s="3" t="s">
        <v>37</v>
      </c>
      <c r="J5" s="3">
        <v>1</v>
      </c>
      <c r="K5" s="5">
        <v>980</v>
      </c>
      <c r="L5" s="11">
        <v>0.08</v>
      </c>
      <c r="M5" s="5">
        <v>901.6</v>
      </c>
      <c r="N5" s="5">
        <v>180</v>
      </c>
      <c r="O5" s="5"/>
      <c r="P5" s="5"/>
      <c r="Q5" s="3"/>
      <c r="R5" s="5"/>
      <c r="S5" s="5"/>
      <c r="T5" s="5"/>
      <c r="U5" s="5"/>
      <c r="V5" s="3"/>
      <c r="W5" s="5">
        <f>Таблица1[[#This Row],[Sales]] *(1-Таблица1[[#This Row],[Discount]])</f>
        <v>829.47200000000009</v>
      </c>
    </row>
    <row r="6" spans="1:23" x14ac:dyDescent="0.25">
      <c r="A6" s="3">
        <v>5</v>
      </c>
      <c r="B6" s="4">
        <v>45298</v>
      </c>
      <c r="C6" s="3" t="s">
        <v>14</v>
      </c>
      <c r="D6" s="3" t="s">
        <v>38</v>
      </c>
      <c r="E6" s="3" t="s">
        <v>16</v>
      </c>
      <c r="F6" s="3" t="s">
        <v>17</v>
      </c>
      <c r="G6" s="3" t="s">
        <v>23</v>
      </c>
      <c r="H6" s="3" t="s">
        <v>39</v>
      </c>
      <c r="I6" s="3" t="s">
        <v>40</v>
      </c>
      <c r="J6" s="3">
        <v>1</v>
      </c>
      <c r="K6" s="5">
        <v>450</v>
      </c>
      <c r="L6" s="11">
        <v>0</v>
      </c>
      <c r="M6" s="5">
        <v>450</v>
      </c>
      <c r="N6" s="5">
        <v>135</v>
      </c>
      <c r="O6" s="5"/>
      <c r="P6" s="5"/>
      <c r="Q6" s="3"/>
      <c r="R6" s="5"/>
      <c r="S6" s="5"/>
      <c r="T6" s="5"/>
      <c r="U6" s="5"/>
      <c r="V6" s="3"/>
      <c r="W6" s="5">
        <f>Таблица1[[#This Row],[Sales]] *(1-Таблица1[[#This Row],[Discount]])</f>
        <v>450</v>
      </c>
    </row>
    <row r="7" spans="1:23" x14ac:dyDescent="0.25">
      <c r="A7" s="3">
        <v>6</v>
      </c>
      <c r="B7" s="4">
        <v>45301</v>
      </c>
      <c r="C7" s="3" t="s">
        <v>26</v>
      </c>
      <c r="D7" s="3" t="s">
        <v>41</v>
      </c>
      <c r="E7" s="3" t="s">
        <v>42</v>
      </c>
      <c r="F7" s="3" t="s">
        <v>22</v>
      </c>
      <c r="G7" s="3" t="s">
        <v>29</v>
      </c>
      <c r="H7" s="3" t="s">
        <v>43</v>
      </c>
      <c r="I7" s="3" t="s">
        <v>44</v>
      </c>
      <c r="J7" s="3">
        <v>3</v>
      </c>
      <c r="K7" s="5">
        <v>12</v>
      </c>
      <c r="L7" s="11">
        <v>0.15</v>
      </c>
      <c r="M7" s="5">
        <v>30.6</v>
      </c>
      <c r="N7" s="5">
        <v>4.5999999999999996</v>
      </c>
      <c r="O7" s="5"/>
      <c r="P7" s="5"/>
      <c r="Q7" s="3"/>
      <c r="R7" s="5"/>
      <c r="S7" s="5"/>
      <c r="T7" s="5"/>
      <c r="U7" s="5"/>
      <c r="V7" s="3"/>
      <c r="W7" s="5">
        <f>Таблица1[[#This Row],[Sales]] *(1-Таблица1[[#This Row],[Discount]])</f>
        <v>26.01</v>
      </c>
    </row>
    <row r="8" spans="1:23" x14ac:dyDescent="0.25">
      <c r="A8" s="3">
        <v>7</v>
      </c>
      <c r="B8" s="4">
        <v>45303</v>
      </c>
      <c r="C8" s="3" t="s">
        <v>32</v>
      </c>
      <c r="D8" s="3" t="s">
        <v>45</v>
      </c>
      <c r="E8" s="3" t="s">
        <v>21</v>
      </c>
      <c r="F8" s="3" t="s">
        <v>17</v>
      </c>
      <c r="G8" s="3" t="s">
        <v>18</v>
      </c>
      <c r="H8" s="3" t="s">
        <v>46</v>
      </c>
      <c r="I8" s="3" t="s">
        <v>47</v>
      </c>
      <c r="J8" s="3">
        <v>2</v>
      </c>
      <c r="K8" s="5">
        <v>420</v>
      </c>
      <c r="L8" s="11">
        <v>0.05</v>
      </c>
      <c r="M8" s="5">
        <v>798</v>
      </c>
      <c r="N8" s="5">
        <v>120</v>
      </c>
      <c r="O8" s="5"/>
      <c r="P8" s="5"/>
      <c r="Q8" s="3"/>
      <c r="R8" s="5"/>
      <c r="S8" s="5"/>
      <c r="T8" s="5"/>
      <c r="U8" s="5"/>
      <c r="V8" s="3"/>
      <c r="W8" s="5">
        <f>Таблица1[[#This Row],[Sales]] *(1-Таблица1[[#This Row],[Discount]])</f>
        <v>758.09999999999991</v>
      </c>
    </row>
    <row r="9" spans="1:23" x14ac:dyDescent="0.25">
      <c r="A9" s="3">
        <v>8</v>
      </c>
      <c r="B9" s="4">
        <v>45306</v>
      </c>
      <c r="C9" s="3" t="s">
        <v>14</v>
      </c>
      <c r="D9" s="3" t="s">
        <v>15</v>
      </c>
      <c r="E9" s="3" t="s">
        <v>34</v>
      </c>
      <c r="F9" s="3" t="s">
        <v>35</v>
      </c>
      <c r="G9" s="3" t="s">
        <v>23</v>
      </c>
      <c r="H9" s="3" t="s">
        <v>48</v>
      </c>
      <c r="I9" s="3" t="s">
        <v>49</v>
      </c>
      <c r="J9" s="3">
        <v>4</v>
      </c>
      <c r="K9" s="5">
        <v>85</v>
      </c>
      <c r="L9" s="11">
        <v>0</v>
      </c>
      <c r="M9" s="5">
        <v>340</v>
      </c>
      <c r="N9" s="5">
        <v>102</v>
      </c>
      <c r="O9" s="5"/>
      <c r="P9" s="5"/>
      <c r="Q9" s="3"/>
      <c r="R9" s="5"/>
      <c r="S9" s="5"/>
      <c r="T9" s="5"/>
      <c r="U9" s="5"/>
      <c r="V9" s="3"/>
      <c r="W9" s="5">
        <f>Таблица1[[#This Row],[Sales]] *(1-Таблица1[[#This Row],[Discount]])</f>
        <v>340</v>
      </c>
    </row>
    <row r="10" spans="1:23" x14ac:dyDescent="0.25">
      <c r="A10" s="3">
        <v>9</v>
      </c>
      <c r="B10" s="4">
        <v>45309</v>
      </c>
      <c r="C10" s="3" t="s">
        <v>26</v>
      </c>
      <c r="D10" s="3" t="s">
        <v>27</v>
      </c>
      <c r="E10" s="3" t="s">
        <v>28</v>
      </c>
      <c r="F10" s="3" t="s">
        <v>17</v>
      </c>
      <c r="G10" s="3" t="s">
        <v>29</v>
      </c>
      <c r="H10" s="3" t="s">
        <v>50</v>
      </c>
      <c r="I10" s="3" t="s">
        <v>51</v>
      </c>
      <c r="J10" s="3">
        <v>10</v>
      </c>
      <c r="K10" s="5">
        <v>4.5</v>
      </c>
      <c r="L10" s="11">
        <v>0.2</v>
      </c>
      <c r="M10" s="5">
        <v>36</v>
      </c>
      <c r="N10" s="5">
        <v>5</v>
      </c>
      <c r="O10" s="5"/>
      <c r="P10" s="5"/>
      <c r="Q10" s="3"/>
      <c r="R10" s="5"/>
      <c r="S10" s="5"/>
      <c r="T10" s="5"/>
      <c r="U10" s="5"/>
      <c r="V10" s="3"/>
      <c r="W10" s="5">
        <f>Таблица1[[#This Row],[Sales]] *(1-Таблица1[[#This Row],[Discount]])</f>
        <v>28.8</v>
      </c>
    </row>
    <row r="11" spans="1:23" x14ac:dyDescent="0.25">
      <c r="A11" s="3">
        <v>10</v>
      </c>
      <c r="B11" s="4">
        <v>45311</v>
      </c>
      <c r="C11" s="3" t="s">
        <v>32</v>
      </c>
      <c r="D11" s="3" t="s">
        <v>33</v>
      </c>
      <c r="E11" s="3" t="s">
        <v>16</v>
      </c>
      <c r="F11" s="3" t="s">
        <v>22</v>
      </c>
      <c r="G11" s="3" t="s">
        <v>18</v>
      </c>
      <c r="H11" s="3" t="s">
        <v>52</v>
      </c>
      <c r="I11" s="3" t="s">
        <v>53</v>
      </c>
      <c r="J11" s="3">
        <v>1</v>
      </c>
      <c r="K11" s="5">
        <v>380</v>
      </c>
      <c r="L11" s="11">
        <v>0.1</v>
      </c>
      <c r="M11" s="5">
        <v>342</v>
      </c>
      <c r="N11" s="5">
        <v>68</v>
      </c>
      <c r="O11" s="5"/>
      <c r="P11" s="5"/>
      <c r="Q11" s="3"/>
      <c r="R11" s="5"/>
      <c r="S11" s="5"/>
      <c r="T11" s="5"/>
      <c r="U11" s="5"/>
      <c r="V11" s="3"/>
      <c r="W11" s="5">
        <f>Таблица1[[#This Row],[Sales]] *(1-Таблица1[[#This Row],[Discount]])</f>
        <v>307.8</v>
      </c>
    </row>
    <row r="12" spans="1:23" x14ac:dyDescent="0.25">
      <c r="A12" s="3">
        <v>11</v>
      </c>
      <c r="B12" s="4">
        <v>45313</v>
      </c>
      <c r="C12" s="3" t="s">
        <v>14</v>
      </c>
      <c r="D12" s="3" t="s">
        <v>15</v>
      </c>
      <c r="E12" s="3" t="s">
        <v>21</v>
      </c>
      <c r="F12" s="3" t="s">
        <v>17</v>
      </c>
      <c r="G12" s="3" t="s">
        <v>23</v>
      </c>
      <c r="H12" s="3" t="s">
        <v>24</v>
      </c>
      <c r="I12" s="3" t="s">
        <v>54</v>
      </c>
      <c r="J12" s="3">
        <v>1</v>
      </c>
      <c r="K12" s="5">
        <v>580</v>
      </c>
      <c r="L12" s="11">
        <v>0</v>
      </c>
      <c r="M12" s="5">
        <v>580</v>
      </c>
      <c r="N12" s="5">
        <v>174</v>
      </c>
      <c r="O12" s="5"/>
      <c r="P12" s="5"/>
      <c r="Q12" s="3"/>
      <c r="R12" s="5"/>
      <c r="S12" s="5"/>
      <c r="T12" s="5"/>
      <c r="U12" s="5"/>
      <c r="V12" s="3"/>
      <c r="W12" s="5">
        <f>Таблица1[[#This Row],[Sales]] *(1-Таблица1[[#This Row],[Discount]])</f>
        <v>580</v>
      </c>
    </row>
    <row r="13" spans="1:23" x14ac:dyDescent="0.25">
      <c r="A13" s="3">
        <v>12</v>
      </c>
      <c r="B13" s="4">
        <v>45316</v>
      </c>
      <c r="C13" s="3" t="s">
        <v>26</v>
      </c>
      <c r="D13" s="3" t="s">
        <v>41</v>
      </c>
      <c r="E13" s="3" t="s">
        <v>42</v>
      </c>
      <c r="F13" s="3" t="s">
        <v>35</v>
      </c>
      <c r="G13" s="3" t="s">
        <v>29</v>
      </c>
      <c r="H13" s="3" t="s">
        <v>55</v>
      </c>
      <c r="I13" s="3" t="s">
        <v>56</v>
      </c>
      <c r="J13" s="3">
        <v>2</v>
      </c>
      <c r="K13" s="5">
        <v>35</v>
      </c>
      <c r="L13" s="11">
        <v>0.05</v>
      </c>
      <c r="M13" s="5">
        <v>66.5</v>
      </c>
      <c r="N13" s="5">
        <v>10</v>
      </c>
      <c r="O13" s="5"/>
      <c r="P13" s="5"/>
      <c r="Q13" s="3"/>
      <c r="R13" s="5"/>
      <c r="S13" s="5"/>
      <c r="T13" s="5"/>
      <c r="U13" s="5"/>
      <c r="V13" s="3"/>
      <c r="W13" s="5">
        <f>Таблица1[[#This Row],[Sales]] *(1-Таблица1[[#This Row],[Discount]])</f>
        <v>63.174999999999997</v>
      </c>
    </row>
    <row r="14" spans="1:23" x14ac:dyDescent="0.25">
      <c r="A14" s="3">
        <v>13</v>
      </c>
      <c r="B14" s="4">
        <v>45318</v>
      </c>
      <c r="C14" s="3" t="s">
        <v>32</v>
      </c>
      <c r="D14" s="3" t="s">
        <v>45</v>
      </c>
      <c r="E14" s="3" t="s">
        <v>34</v>
      </c>
      <c r="F14" s="3" t="s">
        <v>17</v>
      </c>
      <c r="G14" s="3" t="s">
        <v>18</v>
      </c>
      <c r="H14" s="3" t="s">
        <v>57</v>
      </c>
      <c r="I14" s="3" t="s">
        <v>58</v>
      </c>
      <c r="J14" s="3">
        <v>1</v>
      </c>
      <c r="K14" s="5">
        <v>420</v>
      </c>
      <c r="L14" s="11">
        <v>0.12</v>
      </c>
      <c r="M14" s="5">
        <v>369.6</v>
      </c>
      <c r="N14" s="5">
        <v>74</v>
      </c>
      <c r="O14" s="5"/>
      <c r="P14" s="5"/>
      <c r="Q14" s="3"/>
      <c r="R14" s="5"/>
      <c r="S14" s="5"/>
      <c r="T14" s="5"/>
      <c r="U14" s="5"/>
      <c r="V14" s="3"/>
      <c r="W14" s="5">
        <f>Таблица1[[#This Row],[Sales]] *(1-Таблица1[[#This Row],[Discount]])</f>
        <v>325.24800000000005</v>
      </c>
    </row>
    <row r="15" spans="1:23" x14ac:dyDescent="0.25">
      <c r="A15" s="3">
        <v>14</v>
      </c>
      <c r="B15" s="4">
        <v>45320</v>
      </c>
      <c r="C15" s="3" t="s">
        <v>14</v>
      </c>
      <c r="D15" s="3" t="s">
        <v>38</v>
      </c>
      <c r="E15" s="3" t="s">
        <v>28</v>
      </c>
      <c r="F15" s="3" t="s">
        <v>22</v>
      </c>
      <c r="G15" s="3" t="s">
        <v>23</v>
      </c>
      <c r="H15" s="3" t="s">
        <v>39</v>
      </c>
      <c r="I15" s="3" t="s">
        <v>59</v>
      </c>
      <c r="J15" s="3">
        <v>1</v>
      </c>
      <c r="K15" s="5">
        <v>720</v>
      </c>
      <c r="L15" s="11">
        <v>0</v>
      </c>
      <c r="M15" s="5">
        <v>720</v>
      </c>
      <c r="N15" s="5">
        <v>216</v>
      </c>
      <c r="O15" s="5"/>
      <c r="P15" s="5"/>
      <c r="Q15" s="3"/>
      <c r="R15" s="5"/>
      <c r="S15" s="5"/>
      <c r="T15" s="5"/>
      <c r="U15" s="5"/>
      <c r="V15" s="3"/>
      <c r="W15" s="5">
        <f>Таблица1[[#This Row],[Sales]] *(1-Таблица1[[#This Row],[Discount]])</f>
        <v>720</v>
      </c>
    </row>
    <row r="16" spans="1:23" x14ac:dyDescent="0.25">
      <c r="A16" s="3">
        <v>15</v>
      </c>
      <c r="B16" s="4">
        <v>45322</v>
      </c>
      <c r="C16" s="3" t="s">
        <v>26</v>
      </c>
      <c r="D16" s="3" t="s">
        <v>27</v>
      </c>
      <c r="E16" s="3" t="s">
        <v>16</v>
      </c>
      <c r="F16" s="3" t="s">
        <v>17</v>
      </c>
      <c r="G16" s="3" t="s">
        <v>29</v>
      </c>
      <c r="H16" s="3" t="s">
        <v>30</v>
      </c>
      <c r="I16" s="3" t="s">
        <v>31</v>
      </c>
      <c r="J16" s="3">
        <v>8</v>
      </c>
      <c r="K16" s="5">
        <v>18</v>
      </c>
      <c r="L16" s="11">
        <v>0.1</v>
      </c>
      <c r="M16" s="5">
        <v>129.6</v>
      </c>
      <c r="N16" s="5">
        <v>18</v>
      </c>
      <c r="O16" s="5"/>
      <c r="P16" s="5"/>
      <c r="Q16" s="3"/>
      <c r="R16" s="5"/>
      <c r="S16" s="5"/>
      <c r="T16" s="5"/>
      <c r="U16" s="5"/>
      <c r="V16" s="3"/>
      <c r="W16" s="5">
        <f>Таблица1[[#This Row],[Sales]] *(1-Таблица1[[#This Row],[Discount]])</f>
        <v>116.64</v>
      </c>
    </row>
    <row r="17" spans="1:23" x14ac:dyDescent="0.25">
      <c r="A17" s="3">
        <v>16</v>
      </c>
      <c r="B17" s="4">
        <v>45324</v>
      </c>
      <c r="C17" s="3" t="s">
        <v>32</v>
      </c>
      <c r="D17" s="3" t="s">
        <v>33</v>
      </c>
      <c r="E17" s="3" t="s">
        <v>21</v>
      </c>
      <c r="F17" s="3" t="s">
        <v>35</v>
      </c>
      <c r="G17" s="3" t="s">
        <v>18</v>
      </c>
      <c r="H17" s="3" t="s">
        <v>36</v>
      </c>
      <c r="I17" s="3" t="s">
        <v>60</v>
      </c>
      <c r="J17" s="3">
        <v>2</v>
      </c>
      <c r="K17" s="5">
        <v>720</v>
      </c>
      <c r="L17" s="11">
        <v>0.08</v>
      </c>
      <c r="M17" s="5">
        <v>1324.8</v>
      </c>
      <c r="N17" s="5">
        <v>265</v>
      </c>
      <c r="O17" s="5"/>
      <c r="P17" s="5"/>
      <c r="Q17" s="3"/>
      <c r="R17" s="5"/>
      <c r="S17" s="5"/>
      <c r="T17" s="5"/>
      <c r="U17" s="5"/>
      <c r="V17" s="3"/>
      <c r="W17" s="5">
        <f>Таблица1[[#This Row],[Sales]] *(1-Таблица1[[#This Row],[Discount]])</f>
        <v>1218.816</v>
      </c>
    </row>
    <row r="18" spans="1:23" x14ac:dyDescent="0.25">
      <c r="A18" s="3">
        <v>17</v>
      </c>
      <c r="B18" s="4">
        <v>45326</v>
      </c>
      <c r="C18" s="3" t="s">
        <v>14</v>
      </c>
      <c r="D18" s="3" t="s">
        <v>15</v>
      </c>
      <c r="E18" s="3" t="s">
        <v>42</v>
      </c>
      <c r="F18" s="3" t="s">
        <v>17</v>
      </c>
      <c r="G18" s="3" t="s">
        <v>23</v>
      </c>
      <c r="H18" s="3" t="s">
        <v>48</v>
      </c>
      <c r="I18" s="3" t="s">
        <v>61</v>
      </c>
      <c r="J18" s="3">
        <v>3</v>
      </c>
      <c r="K18" s="5">
        <v>140</v>
      </c>
      <c r="L18" s="11">
        <v>0</v>
      </c>
      <c r="M18" s="5">
        <v>420</v>
      </c>
      <c r="N18" s="5">
        <v>126</v>
      </c>
      <c r="O18" s="5"/>
      <c r="P18" s="5"/>
      <c r="Q18" s="3"/>
      <c r="R18" s="5"/>
      <c r="S18" s="5"/>
      <c r="T18" s="5"/>
      <c r="U18" s="5"/>
      <c r="V18" s="3"/>
      <c r="W18" s="5">
        <f>Таблица1[[#This Row],[Sales]] *(1-Таблица1[[#This Row],[Discount]])</f>
        <v>420</v>
      </c>
    </row>
    <row r="19" spans="1:23" x14ac:dyDescent="0.25">
      <c r="A19" s="3">
        <v>18</v>
      </c>
      <c r="B19" s="4">
        <v>45328</v>
      </c>
      <c r="C19" s="3" t="s">
        <v>26</v>
      </c>
      <c r="D19" s="3" t="s">
        <v>41</v>
      </c>
      <c r="E19" s="3" t="s">
        <v>34</v>
      </c>
      <c r="F19" s="3" t="s">
        <v>22</v>
      </c>
      <c r="G19" s="3" t="s">
        <v>29</v>
      </c>
      <c r="H19" s="3" t="s">
        <v>43</v>
      </c>
      <c r="I19" s="3" t="s">
        <v>62</v>
      </c>
      <c r="J19" s="3">
        <v>4</v>
      </c>
      <c r="K19" s="5">
        <v>15</v>
      </c>
      <c r="L19" s="11">
        <v>0.15</v>
      </c>
      <c r="M19" s="5">
        <v>51</v>
      </c>
      <c r="N19" s="5">
        <v>7.7</v>
      </c>
      <c r="O19" s="5"/>
      <c r="P19" s="5"/>
      <c r="Q19" s="3"/>
      <c r="R19" s="5"/>
      <c r="S19" s="5"/>
      <c r="T19" s="5"/>
      <c r="U19" s="5"/>
      <c r="V19" s="3"/>
      <c r="W19" s="5">
        <f>Таблица1[[#This Row],[Sales]] *(1-Таблица1[[#This Row],[Discount]])</f>
        <v>43.35</v>
      </c>
    </row>
    <row r="20" spans="1:23" x14ac:dyDescent="0.25">
      <c r="A20" s="3">
        <v>19</v>
      </c>
      <c r="B20" s="4">
        <v>45330</v>
      </c>
      <c r="C20" s="3" t="s">
        <v>32</v>
      </c>
      <c r="D20" s="3" t="s">
        <v>45</v>
      </c>
      <c r="E20" s="3" t="s">
        <v>28</v>
      </c>
      <c r="F20" s="3" t="s">
        <v>17</v>
      </c>
      <c r="G20" s="3" t="s">
        <v>18</v>
      </c>
      <c r="H20" s="3" t="s">
        <v>46</v>
      </c>
      <c r="I20" s="3" t="s">
        <v>63</v>
      </c>
      <c r="J20" s="3">
        <v>3</v>
      </c>
      <c r="K20" s="5">
        <v>280</v>
      </c>
      <c r="L20" s="11">
        <v>0.05</v>
      </c>
      <c r="M20" s="5">
        <v>798</v>
      </c>
      <c r="N20" s="5">
        <v>120</v>
      </c>
      <c r="O20" s="5"/>
      <c r="P20" s="5"/>
      <c r="Q20" s="3"/>
      <c r="R20" s="5"/>
      <c r="S20" s="5"/>
      <c r="T20" s="5"/>
      <c r="U20" s="5"/>
      <c r="V20" s="3"/>
      <c r="W20" s="5">
        <f>Таблица1[[#This Row],[Sales]] *(1-Таблица1[[#This Row],[Discount]])</f>
        <v>758.09999999999991</v>
      </c>
    </row>
    <row r="21" spans="1:23" x14ac:dyDescent="0.25">
      <c r="A21" s="3">
        <v>20</v>
      </c>
      <c r="B21" s="4">
        <v>45332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23</v>
      </c>
      <c r="H21" s="3" t="s">
        <v>24</v>
      </c>
      <c r="I21" s="3" t="s">
        <v>64</v>
      </c>
      <c r="J21" s="3">
        <v>6</v>
      </c>
      <c r="K21" s="5">
        <v>95</v>
      </c>
      <c r="L21" s="11">
        <v>0.1</v>
      </c>
      <c r="M21" s="5">
        <v>513</v>
      </c>
      <c r="N21" s="5">
        <v>77</v>
      </c>
      <c r="O21" s="5"/>
      <c r="P21" s="5"/>
      <c r="Q21" s="3"/>
      <c r="R21" s="5"/>
      <c r="S21" s="5"/>
      <c r="T21" s="5"/>
      <c r="U21" s="5"/>
      <c r="V21" s="3"/>
      <c r="W21" s="5">
        <f>Таблица1[[#This Row],[Sales]] *(1-Таблица1[[#This Row],[Discount]])</f>
        <v>461.7</v>
      </c>
    </row>
    <row r="22" spans="1:23" x14ac:dyDescent="0.25">
      <c r="A22" s="3">
        <f>COUNTA(Таблица1[OrderID])</f>
        <v>20</v>
      </c>
      <c r="B22" s="3"/>
      <c r="C22" s="3"/>
      <c r="D22" s="3"/>
      <c r="E22" s="3"/>
      <c r="F22" s="3"/>
      <c r="G22" s="3"/>
      <c r="H22" s="3"/>
      <c r="I22" s="3"/>
      <c r="J22" s="3">
        <f>MAX(Таблица1[Quantity])</f>
        <v>10</v>
      </c>
      <c r="K22" s="5"/>
      <c r="L22" s="11"/>
      <c r="M22" s="5">
        <f>SUBTOTAL(109,Таблица1[Sales])</f>
        <v>9506.7000000000007</v>
      </c>
      <c r="N22" s="5">
        <f>AVERAGE(Таблица1[Profit])</f>
        <v>99.715000000000003</v>
      </c>
      <c r="O22" s="5"/>
      <c r="P22" s="3"/>
      <c r="Q22" s="3"/>
      <c r="R22" s="3"/>
      <c r="W22" s="2">
        <f>SUBTOTAL(109,Таблица1[Выручка без скидки])</f>
        <v>9013.3610000000026</v>
      </c>
    </row>
  </sheetData>
  <phoneticPr fontId="1" type="noConversion"/>
  <pageMargins left="0.7" right="0.7" top="0.75" bottom="0.75" header="0.3" footer="0.3"/>
  <pageSetup paperSize="9" scale="4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4847-64A5-4213-99C1-9AB6FC68D49E}">
  <dimension ref="A2:S22"/>
  <sheetViews>
    <sheetView tabSelected="1" zoomScaleNormal="100" workbookViewId="0">
      <selection activeCell="P27" sqref="P27"/>
    </sheetView>
  </sheetViews>
  <sheetFormatPr defaultRowHeight="15" x14ac:dyDescent="0.25"/>
  <cols>
    <col min="1" max="1" width="11.85546875" bestFit="1" customWidth="1"/>
    <col min="2" max="3" width="11.7109375" bestFit="1" customWidth="1"/>
    <col min="5" max="5" width="23.140625" bestFit="1" customWidth="1"/>
    <col min="6" max="6" width="11.7109375" bestFit="1" customWidth="1"/>
    <col min="8" max="8" width="11.85546875" bestFit="1" customWidth="1"/>
    <col min="9" max="9" width="18.42578125" bestFit="1" customWidth="1"/>
    <col min="13" max="13" width="14.140625" bestFit="1" customWidth="1"/>
    <col min="14" max="14" width="12" bestFit="1" customWidth="1"/>
    <col min="15" max="15" width="14.140625" bestFit="1" customWidth="1"/>
    <col min="16" max="16" width="11.7109375" bestFit="1" customWidth="1"/>
    <col min="17" max="17" width="14.140625" bestFit="1" customWidth="1"/>
    <col min="18" max="18" width="11.7109375" bestFit="1" customWidth="1"/>
    <col min="19" max="19" width="18.85546875" bestFit="1" customWidth="1"/>
  </cols>
  <sheetData>
    <row r="2" spans="1:19" ht="18.75" x14ac:dyDescent="0.3">
      <c r="A2" s="6" t="s">
        <v>81</v>
      </c>
      <c r="B2" t="s">
        <v>82</v>
      </c>
      <c r="C2" t="s">
        <v>83</v>
      </c>
      <c r="E2" s="6" t="s">
        <v>84</v>
      </c>
      <c r="F2" t="s">
        <v>82</v>
      </c>
      <c r="H2" s="6" t="s">
        <v>85</v>
      </c>
      <c r="I2" t="s">
        <v>86</v>
      </c>
      <c r="K2" s="15" t="s">
        <v>88</v>
      </c>
      <c r="L2" s="14"/>
      <c r="M2" s="14"/>
      <c r="N2" s="14"/>
      <c r="O2" s="14"/>
      <c r="P2" s="14"/>
      <c r="Q2" s="14"/>
      <c r="R2" s="14"/>
    </row>
    <row r="3" spans="1:19" x14ac:dyDescent="0.25">
      <c r="A3" s="7" t="s">
        <v>26</v>
      </c>
      <c r="B3" s="2">
        <v>394.7</v>
      </c>
      <c r="C3" s="2">
        <v>56.300000000000004</v>
      </c>
      <c r="E3" s="7" t="s">
        <v>21</v>
      </c>
      <c r="F3" s="2">
        <v>655</v>
      </c>
      <c r="H3" s="7" t="s">
        <v>66</v>
      </c>
      <c r="I3" s="2">
        <v>6399.9000000000005</v>
      </c>
      <c r="K3" s="16" t="s">
        <v>95</v>
      </c>
      <c r="L3" s="16"/>
      <c r="M3" s="16"/>
      <c r="N3" s="16"/>
      <c r="O3" s="16"/>
      <c r="P3" s="16"/>
      <c r="Q3" s="16"/>
      <c r="R3" s="16"/>
    </row>
    <row r="4" spans="1:19" x14ac:dyDescent="0.25">
      <c r="A4" s="7" t="s">
        <v>14</v>
      </c>
      <c r="B4" s="2">
        <v>4578</v>
      </c>
      <c r="C4" s="2">
        <v>1111</v>
      </c>
      <c r="E4" s="7" t="s">
        <v>16</v>
      </c>
      <c r="F4" s="2">
        <v>483</v>
      </c>
      <c r="H4" s="7" t="s">
        <v>67</v>
      </c>
      <c r="I4" s="2">
        <v>3106.8</v>
      </c>
      <c r="K4" s="16" t="s">
        <v>90</v>
      </c>
      <c r="L4" s="16"/>
      <c r="M4" s="16"/>
      <c r="N4" s="16"/>
      <c r="O4" s="16"/>
      <c r="P4" s="16"/>
      <c r="Q4" s="16"/>
      <c r="R4" s="16"/>
    </row>
    <row r="5" spans="1:19" x14ac:dyDescent="0.25">
      <c r="A5" s="7" t="s">
        <v>32</v>
      </c>
      <c r="B5" s="2">
        <v>4534</v>
      </c>
      <c r="C5" s="2">
        <v>827</v>
      </c>
      <c r="E5" s="7" t="s">
        <v>34</v>
      </c>
      <c r="F5" s="2">
        <v>363.7</v>
      </c>
      <c r="H5" s="7" t="s">
        <v>65</v>
      </c>
      <c r="I5" s="2">
        <v>9506.7000000000007</v>
      </c>
      <c r="K5" s="16" t="s">
        <v>89</v>
      </c>
      <c r="L5" s="16"/>
      <c r="M5" s="16"/>
      <c r="N5" s="16"/>
      <c r="O5" s="16"/>
      <c r="P5" s="16"/>
      <c r="Q5" s="16"/>
      <c r="R5" s="16"/>
    </row>
    <row r="6" spans="1:19" x14ac:dyDescent="0.25">
      <c r="A6" s="7" t="s">
        <v>65</v>
      </c>
      <c r="B6" s="2">
        <v>9506.7000000000007</v>
      </c>
      <c r="C6" s="2">
        <v>1994.3</v>
      </c>
      <c r="E6" s="7" t="s">
        <v>28</v>
      </c>
      <c r="F6" s="2">
        <v>352</v>
      </c>
      <c r="K6" s="16" t="s">
        <v>93</v>
      </c>
      <c r="L6" s="16"/>
      <c r="M6" s="16"/>
      <c r="N6" s="16"/>
      <c r="O6" s="16"/>
      <c r="P6" s="16"/>
      <c r="Q6" s="16"/>
      <c r="R6" s="16"/>
    </row>
    <row r="7" spans="1:19" x14ac:dyDescent="0.25">
      <c r="E7" s="7" t="s">
        <v>42</v>
      </c>
      <c r="F7" s="2">
        <v>140.6</v>
      </c>
      <c r="K7" s="16" t="s">
        <v>94</v>
      </c>
      <c r="L7" s="16"/>
      <c r="M7" s="16"/>
      <c r="N7" s="16"/>
      <c r="O7" s="16"/>
      <c r="P7" s="16"/>
      <c r="Q7" s="16"/>
      <c r="R7" s="16"/>
    </row>
    <row r="8" spans="1:19" x14ac:dyDescent="0.25">
      <c r="E8" s="7" t="s">
        <v>65</v>
      </c>
      <c r="F8" s="2">
        <v>1994.3</v>
      </c>
    </row>
    <row r="9" spans="1:19" ht="45" x14ac:dyDescent="0.25">
      <c r="M9" s="12" t="s">
        <v>91</v>
      </c>
      <c r="N9" s="13" t="s">
        <v>92</v>
      </c>
      <c r="O9" s="6" t="s">
        <v>91</v>
      </c>
      <c r="P9" t="s">
        <v>83</v>
      </c>
    </row>
    <row r="10" spans="1:19" x14ac:dyDescent="0.25">
      <c r="M10" s="7" t="s">
        <v>30</v>
      </c>
      <c r="N10">
        <v>13</v>
      </c>
      <c r="O10" s="7" t="s">
        <v>36</v>
      </c>
      <c r="P10" s="2">
        <v>445</v>
      </c>
    </row>
    <row r="11" spans="1:19" x14ac:dyDescent="0.25">
      <c r="M11" s="7" t="s">
        <v>55</v>
      </c>
      <c r="N11">
        <v>2</v>
      </c>
      <c r="O11" s="7" t="s">
        <v>39</v>
      </c>
      <c r="P11" s="2">
        <v>351</v>
      </c>
    </row>
    <row r="12" spans="1:19" x14ac:dyDescent="0.25">
      <c r="M12" s="7" t="s">
        <v>46</v>
      </c>
      <c r="N12">
        <v>5</v>
      </c>
      <c r="O12" s="7" t="s">
        <v>24</v>
      </c>
      <c r="P12" s="2">
        <v>347</v>
      </c>
      <c r="S12" t="s">
        <v>87</v>
      </c>
    </row>
    <row r="13" spans="1:19" x14ac:dyDescent="0.25">
      <c r="M13" s="7" t="s">
        <v>57</v>
      </c>
      <c r="N13">
        <v>1</v>
      </c>
      <c r="O13" s="7" t="s">
        <v>46</v>
      </c>
      <c r="P13" s="2">
        <v>240</v>
      </c>
    </row>
    <row r="14" spans="1:19" x14ac:dyDescent="0.25">
      <c r="M14" s="7" t="s">
        <v>36</v>
      </c>
      <c r="N14">
        <v>3</v>
      </c>
      <c r="O14" s="7" t="s">
        <v>48</v>
      </c>
      <c r="P14" s="2">
        <v>228</v>
      </c>
    </row>
    <row r="15" spans="1:19" x14ac:dyDescent="0.25">
      <c r="M15" s="7" t="s">
        <v>50</v>
      </c>
      <c r="N15">
        <v>10</v>
      </c>
      <c r="O15" s="7" t="s">
        <v>19</v>
      </c>
      <c r="P15" s="2">
        <v>185</v>
      </c>
    </row>
    <row r="16" spans="1:19" x14ac:dyDescent="0.25">
      <c r="M16" s="7" t="s">
        <v>48</v>
      </c>
      <c r="N16">
        <v>7</v>
      </c>
      <c r="O16" s="7" t="s">
        <v>57</v>
      </c>
      <c r="P16" s="2">
        <v>74</v>
      </c>
    </row>
    <row r="17" spans="13:16" x14ac:dyDescent="0.25">
      <c r="M17" s="7" t="s">
        <v>52</v>
      </c>
      <c r="N17">
        <v>1</v>
      </c>
      <c r="O17" s="7" t="s">
        <v>52</v>
      </c>
      <c r="P17" s="2">
        <v>68</v>
      </c>
    </row>
    <row r="18" spans="13:16" x14ac:dyDescent="0.25">
      <c r="M18" s="7" t="s">
        <v>43</v>
      </c>
      <c r="N18">
        <v>7</v>
      </c>
      <c r="O18" s="7" t="s">
        <v>30</v>
      </c>
      <c r="P18" s="2">
        <v>29</v>
      </c>
    </row>
    <row r="19" spans="13:16" x14ac:dyDescent="0.25">
      <c r="M19" s="7" t="s">
        <v>39</v>
      </c>
      <c r="N19">
        <v>2</v>
      </c>
      <c r="O19" s="7" t="s">
        <v>43</v>
      </c>
      <c r="P19" s="2">
        <v>12.3</v>
      </c>
    </row>
    <row r="20" spans="13:16" x14ac:dyDescent="0.25">
      <c r="M20" s="7" t="s">
        <v>24</v>
      </c>
      <c r="N20">
        <v>8</v>
      </c>
      <c r="O20" s="7" t="s">
        <v>55</v>
      </c>
      <c r="P20" s="2">
        <v>10</v>
      </c>
    </row>
    <row r="21" spans="13:16" x14ac:dyDescent="0.25">
      <c r="M21" s="7" t="s">
        <v>19</v>
      </c>
      <c r="N21">
        <v>2</v>
      </c>
      <c r="O21" s="7" t="s">
        <v>50</v>
      </c>
      <c r="P21" s="2">
        <v>5</v>
      </c>
    </row>
    <row r="22" spans="13:16" x14ac:dyDescent="0.25">
      <c r="M22" s="7" t="s">
        <v>65</v>
      </c>
      <c r="N22">
        <v>61</v>
      </c>
      <c r="O22" s="7" t="s">
        <v>65</v>
      </c>
      <c r="P22" s="2">
        <v>1994.3</v>
      </c>
    </row>
  </sheetData>
  <mergeCells count="5">
    <mergeCell ref="K7:R7"/>
    <mergeCell ref="K3:R3"/>
    <mergeCell ref="K4:R4"/>
    <mergeCell ref="K5:R5"/>
    <mergeCell ref="K6:R6"/>
  </mergeCells>
  <pageMargins left="0.7" right="0.7" top="0.75" bottom="0.75" header="0.3" footer="0.3"/>
  <pageSetup paperSize="9" scale="34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День 3-5 Сводные</vt:lpstr>
      <vt:lpstr>Дашборд1</vt:lpstr>
      <vt:lpstr>ТопВыручка</vt:lpstr>
      <vt:lpstr>Топ_Прибыль</vt:lpstr>
      <vt:lpstr>Продажи</vt:lpstr>
      <vt:lpstr>Дашборд2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Ермоленко</dc:creator>
  <cp:lastModifiedBy>Никита Ермоленко</cp:lastModifiedBy>
  <cp:lastPrinted>2026-02-12T15:16:52Z</cp:lastPrinted>
  <dcterms:created xsi:type="dcterms:W3CDTF">2015-06-05T18:17:20Z</dcterms:created>
  <dcterms:modified xsi:type="dcterms:W3CDTF">2026-02-25T14:21:26Z</dcterms:modified>
</cp:coreProperties>
</file>